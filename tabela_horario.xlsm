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tables/table1.xml" ContentType="application/vnd.openxmlformats-officedocument.spreadsheetml.tab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Fabricius2\Documents\UNIFEI\Semestre 4\Grafos\Projeto\Implementacao\"/>
    </mc:Choice>
  </mc:AlternateContent>
  <xr:revisionPtr revIDLastSave="0" documentId="13_ncr:1_{550A74A9-F4CE-4133-80F8-ED0343939D99}" xr6:coauthVersionLast="47" xr6:coauthVersionMax="47" xr10:uidLastSave="{00000000-0000-0000-0000-000000000000}"/>
  <bookViews>
    <workbookView showSheetTabs="0" xWindow="-120" yWindow="-120" windowWidth="29040" windowHeight="15720" tabRatio="917" xr2:uid="{1F96D4AF-C7CF-417F-A007-4BF9DF69EC79}"/>
  </bookViews>
  <sheets>
    <sheet name="CCO1" sheetId="1" r:id="rId1"/>
    <sheet name="CCO2" sheetId="42" r:id="rId2"/>
    <sheet name="CCO3" sheetId="43" r:id="rId3"/>
    <sheet name="CCO4" sheetId="44" r:id="rId4"/>
    <sheet name="CCO5" sheetId="45" r:id="rId5"/>
    <sheet name="CCO6" sheetId="46" r:id="rId6"/>
    <sheet name="CCO7" sheetId="47" r:id="rId7"/>
    <sheet name="SIN1" sheetId="49" r:id="rId8"/>
    <sheet name="SIN2" sheetId="62" r:id="rId9"/>
    <sheet name="SIN3" sheetId="63" r:id="rId10"/>
    <sheet name="SIN4" sheetId="64" r:id="rId11"/>
    <sheet name="SIN5" sheetId="65" r:id="rId12"/>
    <sheet name="SIN6" sheetId="66" r:id="rId13"/>
    <sheet name="SIN7" sheetId="67" r:id="rId14"/>
    <sheet name="SIN8" sheetId="68" r:id="rId15"/>
    <sheet name="SIN9" sheetId="69" r:id="rId16"/>
    <sheet name="DadosImportados" sheetId="94" r:id="rId17"/>
    <sheet name="Optativas11" sheetId="58" r:id="rId18"/>
    <sheet name="Optativas12" sheetId="72" r:id="rId19"/>
    <sheet name="Poscomp11" sheetId="73" r:id="rId20"/>
    <sheet name="Poscomp12" sheetId="75" r:id="rId2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" i="75" l="1"/>
  <c r="G5" i="75"/>
  <c r="H5" i="75"/>
  <c r="I5" i="75"/>
  <c r="F6" i="75"/>
  <c r="G6" i="75"/>
  <c r="H6" i="75"/>
  <c r="I6" i="75"/>
  <c r="F7" i="75"/>
  <c r="G7" i="75"/>
  <c r="H7" i="75"/>
  <c r="I7" i="75"/>
  <c r="F8" i="75"/>
  <c r="G8" i="75"/>
  <c r="H8" i="75"/>
  <c r="I8" i="75"/>
  <c r="F9" i="75"/>
  <c r="G9" i="75"/>
  <c r="H9" i="75"/>
  <c r="I9" i="75"/>
  <c r="F10" i="75"/>
  <c r="G10" i="75"/>
  <c r="H10" i="75"/>
  <c r="I10" i="75"/>
  <c r="F11" i="75"/>
  <c r="G11" i="75"/>
  <c r="H11" i="75"/>
  <c r="I11" i="75"/>
  <c r="F12" i="75"/>
  <c r="G12" i="75"/>
  <c r="H12" i="75"/>
  <c r="I12" i="75"/>
  <c r="F13" i="75"/>
  <c r="G13" i="75"/>
  <c r="H13" i="75"/>
  <c r="I13" i="75"/>
  <c r="F14" i="75"/>
  <c r="G14" i="75"/>
  <c r="H14" i="75"/>
  <c r="I14" i="75"/>
  <c r="F15" i="75"/>
  <c r="G15" i="75"/>
  <c r="H15" i="75"/>
  <c r="I15" i="75"/>
  <c r="F16" i="75"/>
  <c r="G16" i="75"/>
  <c r="H16" i="75"/>
  <c r="I16" i="75"/>
  <c r="F17" i="75"/>
  <c r="G17" i="75"/>
  <c r="H17" i="75"/>
  <c r="I17" i="75"/>
  <c r="F18" i="75"/>
  <c r="G18" i="75"/>
  <c r="H18" i="75"/>
  <c r="I18" i="75"/>
  <c r="F19" i="75"/>
  <c r="G19" i="75"/>
  <c r="H19" i="75"/>
  <c r="I19" i="75"/>
  <c r="F20" i="75"/>
  <c r="G20" i="75"/>
  <c r="H20" i="75"/>
  <c r="I20" i="75"/>
  <c r="F21" i="75"/>
  <c r="G21" i="75"/>
  <c r="H21" i="75"/>
  <c r="I21" i="75"/>
  <c r="E6" i="75"/>
  <c r="E7" i="75"/>
  <c r="E8" i="75"/>
  <c r="E9" i="75"/>
  <c r="E10" i="75"/>
  <c r="E11" i="75"/>
  <c r="E12" i="75"/>
  <c r="E13" i="75"/>
  <c r="E14" i="75"/>
  <c r="E15" i="75"/>
  <c r="E16" i="75"/>
  <c r="E17" i="75"/>
  <c r="E18" i="75"/>
  <c r="E19" i="75"/>
  <c r="E20" i="75"/>
  <c r="E21" i="75"/>
  <c r="E5" i="75"/>
  <c r="F5" i="73"/>
  <c r="G5" i="73"/>
  <c r="H5" i="73"/>
  <c r="I5" i="73"/>
  <c r="F6" i="73"/>
  <c r="G6" i="73"/>
  <c r="H6" i="73"/>
  <c r="I6" i="73"/>
  <c r="F7" i="73"/>
  <c r="G7" i="73"/>
  <c r="H7" i="73"/>
  <c r="I7" i="73"/>
  <c r="F8" i="73"/>
  <c r="G8" i="73"/>
  <c r="H8" i="73"/>
  <c r="I8" i="73"/>
  <c r="F9" i="73"/>
  <c r="G9" i="73"/>
  <c r="H9" i="73"/>
  <c r="I9" i="73"/>
  <c r="F10" i="73"/>
  <c r="G10" i="73"/>
  <c r="H10" i="73"/>
  <c r="I10" i="73"/>
  <c r="F11" i="73"/>
  <c r="G11" i="73"/>
  <c r="H11" i="73"/>
  <c r="I11" i="73"/>
  <c r="F12" i="73"/>
  <c r="G12" i="73"/>
  <c r="H12" i="73"/>
  <c r="I12" i="73"/>
  <c r="F13" i="73"/>
  <c r="G13" i="73"/>
  <c r="H13" i="73"/>
  <c r="I13" i="73"/>
  <c r="F14" i="73"/>
  <c r="G14" i="73"/>
  <c r="H14" i="73"/>
  <c r="I14" i="73"/>
  <c r="F15" i="73"/>
  <c r="G15" i="73"/>
  <c r="H15" i="73"/>
  <c r="I15" i="73"/>
  <c r="F16" i="73"/>
  <c r="G16" i="73"/>
  <c r="H16" i="73"/>
  <c r="I16" i="73"/>
  <c r="F17" i="73"/>
  <c r="G17" i="73"/>
  <c r="H17" i="73"/>
  <c r="I17" i="73"/>
  <c r="F18" i="73"/>
  <c r="G18" i="73"/>
  <c r="H18" i="73"/>
  <c r="I18" i="73"/>
  <c r="F19" i="73"/>
  <c r="G19" i="73"/>
  <c r="H19" i="73"/>
  <c r="I19" i="73"/>
  <c r="F20" i="73"/>
  <c r="G20" i="73"/>
  <c r="H20" i="73"/>
  <c r="I20" i="73"/>
  <c r="F21" i="73"/>
  <c r="G21" i="73"/>
  <c r="H21" i="73"/>
  <c r="I21" i="73"/>
  <c r="E6" i="73"/>
  <c r="E7" i="73"/>
  <c r="E8" i="73"/>
  <c r="E9" i="73"/>
  <c r="E10" i="73"/>
  <c r="E11" i="73"/>
  <c r="E12" i="73"/>
  <c r="E13" i="73"/>
  <c r="E14" i="73"/>
  <c r="E15" i="73"/>
  <c r="E16" i="73"/>
  <c r="E17" i="73"/>
  <c r="E18" i="73"/>
  <c r="E19" i="73"/>
  <c r="E20" i="73"/>
  <c r="E21" i="73"/>
  <c r="E5" i="73"/>
  <c r="F5" i="72"/>
  <c r="G5" i="72"/>
  <c r="H5" i="72"/>
  <c r="I5" i="72"/>
  <c r="F6" i="72"/>
  <c r="G6" i="72"/>
  <c r="H6" i="72"/>
  <c r="I6" i="72"/>
  <c r="F7" i="72"/>
  <c r="G7" i="72"/>
  <c r="H7" i="72"/>
  <c r="I7" i="72"/>
  <c r="F8" i="72"/>
  <c r="G8" i="72"/>
  <c r="H8" i="72"/>
  <c r="I8" i="72"/>
  <c r="F9" i="72"/>
  <c r="G9" i="72"/>
  <c r="H9" i="72"/>
  <c r="I9" i="72"/>
  <c r="F10" i="72"/>
  <c r="G10" i="72"/>
  <c r="H10" i="72"/>
  <c r="I10" i="72"/>
  <c r="F11" i="72"/>
  <c r="G11" i="72"/>
  <c r="H11" i="72"/>
  <c r="I11" i="72"/>
  <c r="F12" i="72"/>
  <c r="G12" i="72"/>
  <c r="H12" i="72"/>
  <c r="I12" i="72"/>
  <c r="F13" i="72"/>
  <c r="G13" i="72"/>
  <c r="H13" i="72"/>
  <c r="I13" i="72"/>
  <c r="F14" i="72"/>
  <c r="G14" i="72"/>
  <c r="H14" i="72"/>
  <c r="I14" i="72"/>
  <c r="F15" i="72"/>
  <c r="G15" i="72"/>
  <c r="H15" i="72"/>
  <c r="I15" i="72"/>
  <c r="F16" i="72"/>
  <c r="G16" i="72"/>
  <c r="H16" i="72"/>
  <c r="I16" i="72"/>
  <c r="F17" i="72"/>
  <c r="G17" i="72"/>
  <c r="H17" i="72"/>
  <c r="I17" i="72"/>
  <c r="F18" i="72"/>
  <c r="G18" i="72"/>
  <c r="H18" i="72"/>
  <c r="I18" i="72"/>
  <c r="F19" i="72"/>
  <c r="G19" i="72"/>
  <c r="H19" i="72"/>
  <c r="I19" i="72"/>
  <c r="F20" i="72"/>
  <c r="G20" i="72"/>
  <c r="H20" i="72"/>
  <c r="I20" i="72"/>
  <c r="F21" i="72"/>
  <c r="G21" i="72"/>
  <c r="H21" i="72"/>
  <c r="I21" i="72"/>
  <c r="E6" i="72"/>
  <c r="E7" i="72"/>
  <c r="E8" i="72"/>
  <c r="E9" i="72"/>
  <c r="E10" i="72"/>
  <c r="E11" i="72"/>
  <c r="E12" i="72"/>
  <c r="E13" i="72"/>
  <c r="E14" i="72"/>
  <c r="E15" i="72"/>
  <c r="E16" i="72"/>
  <c r="E17" i="72"/>
  <c r="E18" i="72"/>
  <c r="E19" i="72"/>
  <c r="E20" i="72"/>
  <c r="E21" i="72"/>
  <c r="E5" i="72"/>
  <c r="F5" i="58"/>
  <c r="G5" i="58"/>
  <c r="H5" i="58"/>
  <c r="I5" i="58"/>
  <c r="F6" i="58"/>
  <c r="G6" i="58"/>
  <c r="H6" i="58"/>
  <c r="I6" i="58"/>
  <c r="F7" i="58"/>
  <c r="G7" i="58"/>
  <c r="H7" i="58"/>
  <c r="I7" i="58"/>
  <c r="F8" i="58"/>
  <c r="G8" i="58"/>
  <c r="H8" i="58"/>
  <c r="I8" i="58"/>
  <c r="F9" i="58"/>
  <c r="G9" i="58"/>
  <c r="H9" i="58"/>
  <c r="I9" i="58"/>
  <c r="F10" i="58"/>
  <c r="G10" i="58"/>
  <c r="H10" i="58"/>
  <c r="I10" i="58"/>
  <c r="F11" i="58"/>
  <c r="G11" i="58"/>
  <c r="H11" i="58"/>
  <c r="I11" i="58"/>
  <c r="F12" i="58"/>
  <c r="G12" i="58"/>
  <c r="H12" i="58"/>
  <c r="I12" i="58"/>
  <c r="F13" i="58"/>
  <c r="G13" i="58"/>
  <c r="H13" i="58"/>
  <c r="I13" i="58"/>
  <c r="F14" i="58"/>
  <c r="G14" i="58"/>
  <c r="H14" i="58"/>
  <c r="I14" i="58"/>
  <c r="F15" i="58"/>
  <c r="G15" i="58"/>
  <c r="H15" i="58"/>
  <c r="I15" i="58"/>
  <c r="F16" i="58"/>
  <c r="G16" i="58"/>
  <c r="H16" i="58"/>
  <c r="I16" i="58"/>
  <c r="F17" i="58"/>
  <c r="G17" i="58"/>
  <c r="H17" i="58"/>
  <c r="I17" i="58"/>
  <c r="F18" i="58"/>
  <c r="G18" i="58"/>
  <c r="H18" i="58"/>
  <c r="I18" i="58"/>
  <c r="F19" i="58"/>
  <c r="G19" i="58"/>
  <c r="H19" i="58"/>
  <c r="I19" i="58"/>
  <c r="F20" i="58"/>
  <c r="G20" i="58"/>
  <c r="H20" i="58"/>
  <c r="I20" i="58"/>
  <c r="F21" i="58"/>
  <c r="G21" i="58"/>
  <c r="H21" i="58"/>
  <c r="I21" i="58"/>
  <c r="E6" i="58"/>
  <c r="E7" i="58"/>
  <c r="E8" i="58"/>
  <c r="E9" i="58"/>
  <c r="E10" i="58"/>
  <c r="E11" i="58"/>
  <c r="E12" i="58"/>
  <c r="E13" i="58"/>
  <c r="E14" i="58"/>
  <c r="E15" i="58"/>
  <c r="E16" i="58"/>
  <c r="E17" i="58"/>
  <c r="E18" i="58"/>
  <c r="E19" i="58"/>
  <c r="E20" i="58"/>
  <c r="E21" i="58"/>
  <c r="E5" i="58"/>
  <c r="F5" i="69"/>
  <c r="G5" i="69"/>
  <c r="H5" i="69"/>
  <c r="I5" i="69"/>
  <c r="F6" i="69"/>
  <c r="G6" i="69"/>
  <c r="H6" i="69"/>
  <c r="I6" i="69"/>
  <c r="F7" i="69"/>
  <c r="G7" i="69"/>
  <c r="H7" i="69"/>
  <c r="I7" i="69"/>
  <c r="F8" i="69"/>
  <c r="G8" i="69"/>
  <c r="H8" i="69"/>
  <c r="I8" i="69"/>
  <c r="F9" i="69"/>
  <c r="G9" i="69"/>
  <c r="H9" i="69"/>
  <c r="I9" i="69"/>
  <c r="E6" i="69"/>
  <c r="E7" i="69"/>
  <c r="E8" i="69"/>
  <c r="E9" i="69"/>
  <c r="E5" i="69"/>
  <c r="F5" i="68"/>
  <c r="G5" i="68"/>
  <c r="H5" i="68"/>
  <c r="I5" i="68"/>
  <c r="F6" i="68"/>
  <c r="G6" i="68"/>
  <c r="H6" i="68"/>
  <c r="I6" i="68"/>
  <c r="F7" i="68"/>
  <c r="G7" i="68"/>
  <c r="H7" i="68"/>
  <c r="I7" i="68"/>
  <c r="F8" i="68"/>
  <c r="G8" i="68"/>
  <c r="H8" i="68"/>
  <c r="I8" i="68"/>
  <c r="F9" i="68"/>
  <c r="G9" i="68"/>
  <c r="H9" i="68"/>
  <c r="I9" i="68"/>
  <c r="E6" i="68"/>
  <c r="E7" i="68"/>
  <c r="E8" i="68"/>
  <c r="E9" i="68"/>
  <c r="E5" i="68"/>
  <c r="F5" i="67"/>
  <c r="G5" i="67"/>
  <c r="H5" i="67"/>
  <c r="I5" i="67"/>
  <c r="F6" i="67"/>
  <c r="G6" i="67"/>
  <c r="H6" i="67"/>
  <c r="I6" i="67"/>
  <c r="F7" i="67"/>
  <c r="G7" i="67"/>
  <c r="H7" i="67"/>
  <c r="I7" i="67"/>
  <c r="F8" i="67"/>
  <c r="G8" i="67"/>
  <c r="H8" i="67"/>
  <c r="I8" i="67"/>
  <c r="F9" i="67"/>
  <c r="G9" i="67"/>
  <c r="H9" i="67"/>
  <c r="I9" i="67"/>
  <c r="E6" i="67"/>
  <c r="E7" i="67"/>
  <c r="E8" i="67"/>
  <c r="E9" i="67"/>
  <c r="E5" i="67"/>
  <c r="F5" i="66"/>
  <c r="G5" i="66"/>
  <c r="H5" i="66"/>
  <c r="I5" i="66"/>
  <c r="F6" i="66"/>
  <c r="G6" i="66"/>
  <c r="H6" i="66"/>
  <c r="I6" i="66"/>
  <c r="F7" i="66"/>
  <c r="G7" i="66"/>
  <c r="H7" i="66"/>
  <c r="I7" i="66"/>
  <c r="F8" i="66"/>
  <c r="G8" i="66"/>
  <c r="H8" i="66"/>
  <c r="I8" i="66"/>
  <c r="F9" i="66"/>
  <c r="G9" i="66"/>
  <c r="H9" i="66"/>
  <c r="I9" i="66"/>
  <c r="E6" i="66"/>
  <c r="E7" i="66"/>
  <c r="E8" i="66"/>
  <c r="E9" i="66"/>
  <c r="E5" i="66"/>
  <c r="F5" i="65"/>
  <c r="G5" i="65"/>
  <c r="H5" i="65"/>
  <c r="I5" i="65"/>
  <c r="F6" i="65"/>
  <c r="G6" i="65"/>
  <c r="H6" i="65"/>
  <c r="I6" i="65"/>
  <c r="F7" i="65"/>
  <c r="G7" i="65"/>
  <c r="H7" i="65"/>
  <c r="I7" i="65"/>
  <c r="F8" i="65"/>
  <c r="G8" i="65"/>
  <c r="H8" i="65"/>
  <c r="I8" i="65"/>
  <c r="F9" i="65"/>
  <c r="G9" i="65"/>
  <c r="H9" i="65"/>
  <c r="I9" i="65"/>
  <c r="E6" i="65"/>
  <c r="E7" i="65"/>
  <c r="E8" i="65"/>
  <c r="E9" i="65"/>
  <c r="E5" i="65"/>
  <c r="F5" i="64"/>
  <c r="G5" i="64"/>
  <c r="H5" i="64"/>
  <c r="I5" i="64"/>
  <c r="F6" i="64"/>
  <c r="G6" i="64"/>
  <c r="H6" i="64"/>
  <c r="I6" i="64"/>
  <c r="F7" i="64"/>
  <c r="G7" i="64"/>
  <c r="H7" i="64"/>
  <c r="I7" i="64"/>
  <c r="F8" i="64"/>
  <c r="G8" i="64"/>
  <c r="H8" i="64"/>
  <c r="I8" i="64"/>
  <c r="F9" i="64"/>
  <c r="G9" i="64"/>
  <c r="H9" i="64"/>
  <c r="I9" i="64"/>
  <c r="E6" i="64"/>
  <c r="E7" i="64"/>
  <c r="E8" i="64"/>
  <c r="E9" i="64"/>
  <c r="E5" i="64"/>
  <c r="F5" i="63"/>
  <c r="G5" i="63"/>
  <c r="H5" i="63"/>
  <c r="I5" i="63"/>
  <c r="F6" i="63"/>
  <c r="G6" i="63"/>
  <c r="H6" i="63"/>
  <c r="I6" i="63"/>
  <c r="F7" i="63"/>
  <c r="G7" i="63"/>
  <c r="H7" i="63"/>
  <c r="I7" i="63"/>
  <c r="F8" i="63"/>
  <c r="G8" i="63"/>
  <c r="H8" i="63"/>
  <c r="I8" i="63"/>
  <c r="F9" i="63"/>
  <c r="G9" i="63"/>
  <c r="H9" i="63"/>
  <c r="I9" i="63"/>
  <c r="E6" i="63"/>
  <c r="E7" i="63"/>
  <c r="E8" i="63"/>
  <c r="E9" i="63"/>
  <c r="E5" i="63"/>
  <c r="F5" i="62"/>
  <c r="G5" i="62"/>
  <c r="H5" i="62"/>
  <c r="I5" i="62"/>
  <c r="F6" i="62"/>
  <c r="G6" i="62"/>
  <c r="H6" i="62"/>
  <c r="I6" i="62"/>
  <c r="F7" i="62"/>
  <c r="G7" i="62"/>
  <c r="H7" i="62"/>
  <c r="I7" i="62"/>
  <c r="F8" i="62"/>
  <c r="G8" i="62"/>
  <c r="H8" i="62"/>
  <c r="I8" i="62"/>
  <c r="F9" i="62"/>
  <c r="G9" i="62"/>
  <c r="H9" i="62"/>
  <c r="I9" i="62"/>
  <c r="E6" i="62"/>
  <c r="E7" i="62"/>
  <c r="E8" i="62"/>
  <c r="E9" i="62"/>
  <c r="E5" i="62"/>
  <c r="F5" i="49"/>
  <c r="G5" i="49"/>
  <c r="H5" i="49"/>
  <c r="I5" i="49"/>
  <c r="F6" i="49"/>
  <c r="G6" i="49"/>
  <c r="H6" i="49"/>
  <c r="I6" i="49"/>
  <c r="F7" i="49"/>
  <c r="G7" i="49"/>
  <c r="H7" i="49"/>
  <c r="I7" i="49"/>
  <c r="F8" i="49"/>
  <c r="G8" i="49"/>
  <c r="H8" i="49"/>
  <c r="I8" i="49"/>
  <c r="F9" i="49"/>
  <c r="G9" i="49"/>
  <c r="H9" i="49"/>
  <c r="I9" i="49"/>
  <c r="E6" i="49"/>
  <c r="E7" i="49"/>
  <c r="E8" i="49"/>
  <c r="E9" i="49"/>
  <c r="E5" i="49"/>
  <c r="F5" i="47"/>
  <c r="G5" i="47"/>
  <c r="H5" i="47"/>
  <c r="I5" i="47"/>
  <c r="F6" i="47"/>
  <c r="G6" i="47"/>
  <c r="H6" i="47"/>
  <c r="I6" i="47"/>
  <c r="F7" i="47"/>
  <c r="G7" i="47"/>
  <c r="H7" i="47"/>
  <c r="I7" i="47"/>
  <c r="F8" i="47"/>
  <c r="G8" i="47"/>
  <c r="H8" i="47"/>
  <c r="I8" i="47"/>
  <c r="F9" i="47"/>
  <c r="G9" i="47"/>
  <c r="H9" i="47"/>
  <c r="I9" i="47"/>
  <c r="F10" i="47"/>
  <c r="G10" i="47"/>
  <c r="H10" i="47"/>
  <c r="I10" i="47"/>
  <c r="F11" i="47"/>
  <c r="G11" i="47"/>
  <c r="H11" i="47"/>
  <c r="I11" i="47"/>
  <c r="F12" i="47"/>
  <c r="G12" i="47"/>
  <c r="H12" i="47"/>
  <c r="I12" i="47"/>
  <c r="F13" i="47"/>
  <c r="G13" i="47"/>
  <c r="H13" i="47"/>
  <c r="I13" i="47"/>
  <c r="F14" i="47"/>
  <c r="G14" i="47"/>
  <c r="H14" i="47"/>
  <c r="I14" i="47"/>
  <c r="F15" i="47"/>
  <c r="G15" i="47"/>
  <c r="H15" i="47"/>
  <c r="I15" i="47"/>
  <c r="E6" i="47"/>
  <c r="E7" i="47"/>
  <c r="E8" i="47"/>
  <c r="E9" i="47"/>
  <c r="E10" i="47"/>
  <c r="E11" i="47"/>
  <c r="E12" i="47"/>
  <c r="E13" i="47"/>
  <c r="E14" i="47"/>
  <c r="E15" i="47"/>
  <c r="E5" i="47"/>
  <c r="F5" i="46"/>
  <c r="G5" i="46"/>
  <c r="H5" i="46"/>
  <c r="I5" i="46"/>
  <c r="F6" i="46"/>
  <c r="G6" i="46"/>
  <c r="H6" i="46"/>
  <c r="I6" i="46"/>
  <c r="F7" i="46"/>
  <c r="G7" i="46"/>
  <c r="H7" i="46"/>
  <c r="I7" i="46"/>
  <c r="F8" i="46"/>
  <c r="G8" i="46"/>
  <c r="H8" i="46"/>
  <c r="I8" i="46"/>
  <c r="F9" i="46"/>
  <c r="G9" i="46"/>
  <c r="H9" i="46"/>
  <c r="I9" i="46"/>
  <c r="F10" i="46"/>
  <c r="G10" i="46"/>
  <c r="H10" i="46"/>
  <c r="I10" i="46"/>
  <c r="F11" i="46"/>
  <c r="G11" i="46"/>
  <c r="H11" i="46"/>
  <c r="I11" i="46"/>
  <c r="F12" i="46"/>
  <c r="G12" i="46"/>
  <c r="H12" i="46"/>
  <c r="I12" i="46"/>
  <c r="F13" i="46"/>
  <c r="G13" i="46"/>
  <c r="H13" i="46"/>
  <c r="I13" i="46"/>
  <c r="F14" i="46"/>
  <c r="G14" i="46"/>
  <c r="H14" i="46"/>
  <c r="I14" i="46"/>
  <c r="F15" i="46"/>
  <c r="G15" i="46"/>
  <c r="H15" i="46"/>
  <c r="I15" i="46"/>
  <c r="E6" i="46"/>
  <c r="E7" i="46"/>
  <c r="E8" i="46"/>
  <c r="E9" i="46"/>
  <c r="E10" i="46"/>
  <c r="E11" i="46"/>
  <c r="E12" i="46"/>
  <c r="E13" i="46"/>
  <c r="E14" i="46"/>
  <c r="E15" i="46"/>
  <c r="E5" i="46"/>
  <c r="F5" i="45"/>
  <c r="G5" i="45"/>
  <c r="H5" i="45"/>
  <c r="I5" i="45"/>
  <c r="F6" i="45"/>
  <c r="G6" i="45"/>
  <c r="H6" i="45"/>
  <c r="I6" i="45"/>
  <c r="F7" i="45"/>
  <c r="G7" i="45"/>
  <c r="H7" i="45"/>
  <c r="I7" i="45"/>
  <c r="F8" i="45"/>
  <c r="G8" i="45"/>
  <c r="H8" i="45"/>
  <c r="I8" i="45"/>
  <c r="F9" i="45"/>
  <c r="G9" i="45"/>
  <c r="H9" i="45"/>
  <c r="I9" i="45"/>
  <c r="F10" i="45"/>
  <c r="G10" i="45"/>
  <c r="H10" i="45"/>
  <c r="I10" i="45"/>
  <c r="F11" i="45"/>
  <c r="G11" i="45"/>
  <c r="H11" i="45"/>
  <c r="I11" i="45"/>
  <c r="F12" i="45"/>
  <c r="G12" i="45"/>
  <c r="H12" i="45"/>
  <c r="I12" i="45"/>
  <c r="F13" i="45"/>
  <c r="G13" i="45"/>
  <c r="H13" i="45"/>
  <c r="I13" i="45"/>
  <c r="F14" i="45"/>
  <c r="G14" i="45"/>
  <c r="H14" i="45"/>
  <c r="I14" i="45"/>
  <c r="F15" i="45"/>
  <c r="G15" i="45"/>
  <c r="H15" i="45"/>
  <c r="I15" i="45"/>
  <c r="E6" i="45"/>
  <c r="E7" i="45"/>
  <c r="E8" i="45"/>
  <c r="E9" i="45"/>
  <c r="E10" i="45"/>
  <c r="E11" i="45"/>
  <c r="E12" i="45"/>
  <c r="E13" i="45"/>
  <c r="E14" i="45"/>
  <c r="E15" i="45"/>
  <c r="E5" i="45"/>
  <c r="F5" i="44"/>
  <c r="G5" i="44"/>
  <c r="H5" i="44"/>
  <c r="I5" i="44"/>
  <c r="F6" i="44"/>
  <c r="G6" i="44"/>
  <c r="H6" i="44"/>
  <c r="I6" i="44"/>
  <c r="F7" i="44"/>
  <c r="G7" i="44"/>
  <c r="H7" i="44"/>
  <c r="I7" i="44"/>
  <c r="F8" i="44"/>
  <c r="G8" i="44"/>
  <c r="H8" i="44"/>
  <c r="I8" i="44"/>
  <c r="F9" i="44"/>
  <c r="G9" i="44"/>
  <c r="H9" i="44"/>
  <c r="I9" i="44"/>
  <c r="F10" i="44"/>
  <c r="G10" i="44"/>
  <c r="H10" i="44"/>
  <c r="I10" i="44"/>
  <c r="F11" i="44"/>
  <c r="G11" i="44"/>
  <c r="H11" i="44"/>
  <c r="I11" i="44"/>
  <c r="F12" i="44"/>
  <c r="G12" i="44"/>
  <c r="H12" i="44"/>
  <c r="I12" i="44"/>
  <c r="F13" i="44"/>
  <c r="G13" i="44"/>
  <c r="H13" i="44"/>
  <c r="I13" i="44"/>
  <c r="F14" i="44"/>
  <c r="G14" i="44"/>
  <c r="H14" i="44"/>
  <c r="I14" i="44"/>
  <c r="F15" i="44"/>
  <c r="G15" i="44"/>
  <c r="H15" i="44"/>
  <c r="I15" i="44"/>
  <c r="E6" i="44"/>
  <c r="E7" i="44"/>
  <c r="E8" i="44"/>
  <c r="E9" i="44"/>
  <c r="E10" i="44"/>
  <c r="E11" i="44"/>
  <c r="E12" i="44"/>
  <c r="E13" i="44"/>
  <c r="E14" i="44"/>
  <c r="E15" i="44"/>
  <c r="E5" i="44"/>
  <c r="F5" i="43"/>
  <c r="G5" i="43"/>
  <c r="H5" i="43"/>
  <c r="I5" i="43"/>
  <c r="F6" i="43"/>
  <c r="G6" i="43"/>
  <c r="H6" i="43"/>
  <c r="I6" i="43"/>
  <c r="F7" i="43"/>
  <c r="G7" i="43"/>
  <c r="H7" i="43"/>
  <c r="I7" i="43"/>
  <c r="F8" i="43"/>
  <c r="G8" i="43"/>
  <c r="H8" i="43"/>
  <c r="I8" i="43"/>
  <c r="F9" i="43"/>
  <c r="G9" i="43"/>
  <c r="H9" i="43"/>
  <c r="I9" i="43"/>
  <c r="F10" i="43"/>
  <c r="G10" i="43"/>
  <c r="H10" i="43"/>
  <c r="I10" i="43"/>
  <c r="F11" i="43"/>
  <c r="G11" i="43"/>
  <c r="H11" i="43"/>
  <c r="I11" i="43"/>
  <c r="F12" i="43"/>
  <c r="G12" i="43"/>
  <c r="H12" i="43"/>
  <c r="I12" i="43"/>
  <c r="F13" i="43"/>
  <c r="G13" i="43"/>
  <c r="H13" i="43"/>
  <c r="I13" i="43"/>
  <c r="F14" i="43"/>
  <c r="G14" i="43"/>
  <c r="H14" i="43"/>
  <c r="I14" i="43"/>
  <c r="F15" i="43"/>
  <c r="G15" i="43"/>
  <c r="H15" i="43"/>
  <c r="I15" i="43"/>
  <c r="E6" i="43"/>
  <c r="E7" i="43"/>
  <c r="E8" i="43"/>
  <c r="E9" i="43"/>
  <c r="E10" i="43"/>
  <c r="E11" i="43"/>
  <c r="E12" i="43"/>
  <c r="E13" i="43"/>
  <c r="E14" i="43"/>
  <c r="E15" i="43"/>
  <c r="E5" i="43"/>
  <c r="F5" i="42"/>
  <c r="G5" i="42"/>
  <c r="H5" i="42"/>
  <c r="I5" i="42"/>
  <c r="F6" i="42"/>
  <c r="G6" i="42"/>
  <c r="H6" i="42"/>
  <c r="I6" i="42"/>
  <c r="F7" i="42"/>
  <c r="G7" i="42"/>
  <c r="H7" i="42"/>
  <c r="I7" i="42"/>
  <c r="F8" i="42"/>
  <c r="G8" i="42"/>
  <c r="H8" i="42"/>
  <c r="I8" i="42"/>
  <c r="F9" i="42"/>
  <c r="G9" i="42"/>
  <c r="H9" i="42"/>
  <c r="I9" i="42"/>
  <c r="F10" i="42"/>
  <c r="G10" i="42"/>
  <c r="H10" i="42"/>
  <c r="I10" i="42"/>
  <c r="F11" i="42"/>
  <c r="G11" i="42"/>
  <c r="H11" i="42"/>
  <c r="I11" i="42"/>
  <c r="F12" i="42"/>
  <c r="G12" i="42"/>
  <c r="H12" i="42"/>
  <c r="I12" i="42"/>
  <c r="F13" i="42"/>
  <c r="G13" i="42"/>
  <c r="H13" i="42"/>
  <c r="I13" i="42"/>
  <c r="F14" i="42"/>
  <c r="G14" i="42"/>
  <c r="H14" i="42"/>
  <c r="I14" i="42"/>
  <c r="F15" i="42"/>
  <c r="G15" i="42"/>
  <c r="H15" i="42"/>
  <c r="I15" i="42"/>
  <c r="E6" i="42"/>
  <c r="E7" i="42"/>
  <c r="E8" i="42"/>
  <c r="E9" i="42"/>
  <c r="E10" i="42"/>
  <c r="E11" i="42"/>
  <c r="E12" i="42"/>
  <c r="E13" i="42"/>
  <c r="E14" i="42"/>
  <c r="E15" i="42"/>
  <c r="E5" i="42"/>
  <c r="F5" i="1"/>
  <c r="G5" i="1"/>
  <c r="H5" i="1"/>
  <c r="I5" i="1"/>
  <c r="F6" i="1"/>
  <c r="G6" i="1"/>
  <c r="H6" i="1"/>
  <c r="I6" i="1"/>
  <c r="F7" i="1"/>
  <c r="G7" i="1"/>
  <c r="H7" i="1"/>
  <c r="I7" i="1"/>
  <c r="F8" i="1"/>
  <c r="G8" i="1"/>
  <c r="H8" i="1"/>
  <c r="I8" i="1"/>
  <c r="F9" i="1"/>
  <c r="G9" i="1"/>
  <c r="H9" i="1"/>
  <c r="I9" i="1"/>
  <c r="F10" i="1"/>
  <c r="G10" i="1"/>
  <c r="H10" i="1"/>
  <c r="I10" i="1"/>
  <c r="F11" i="1"/>
  <c r="G11" i="1"/>
  <c r="H11" i="1"/>
  <c r="I11" i="1"/>
  <c r="F12" i="1"/>
  <c r="G12" i="1"/>
  <c r="H12" i="1"/>
  <c r="I12" i="1"/>
  <c r="F13" i="1"/>
  <c r="G13" i="1"/>
  <c r="H13" i="1"/>
  <c r="I13" i="1"/>
  <c r="F14" i="1"/>
  <c r="G14" i="1"/>
  <c r="H14" i="1"/>
  <c r="I14" i="1"/>
  <c r="F15" i="1"/>
  <c r="G15" i="1"/>
  <c r="H15" i="1"/>
  <c r="I15" i="1"/>
  <c r="E6" i="1"/>
  <c r="E7" i="1"/>
  <c r="E8" i="1"/>
  <c r="E9" i="1"/>
  <c r="E10" i="1"/>
  <c r="E11" i="1"/>
  <c r="E12" i="1"/>
  <c r="E13" i="1"/>
  <c r="E14" i="1"/>
  <c r="E15" i="1"/>
  <c r="E5" i="1"/>
  <c r="E3" i="94"/>
  <c r="E4" i="94"/>
  <c r="E5" i="94"/>
  <c r="E6" i="94"/>
  <c r="E7" i="94"/>
  <c r="E8" i="94"/>
  <c r="E9" i="94"/>
  <c r="E10" i="94"/>
  <c r="E11" i="94"/>
  <c r="E12" i="94"/>
  <c r="E13" i="94"/>
  <c r="E14" i="94"/>
  <c r="E15" i="94"/>
  <c r="E16" i="94"/>
  <c r="E17" i="94"/>
  <c r="E18" i="94"/>
  <c r="E19" i="94"/>
  <c r="E20" i="94"/>
  <c r="E21" i="94"/>
  <c r="E22" i="94"/>
  <c r="E23" i="94"/>
  <c r="E24" i="94"/>
  <c r="E25" i="94"/>
  <c r="E26" i="94"/>
  <c r="E27" i="94"/>
  <c r="E28" i="94"/>
  <c r="E29" i="94"/>
  <c r="E30" i="94"/>
  <c r="E31" i="94"/>
  <c r="E32" i="94"/>
  <c r="E33" i="94"/>
  <c r="E34" i="94"/>
  <c r="E35" i="94"/>
  <c r="E36" i="94"/>
  <c r="E37" i="94"/>
  <c r="E38" i="94"/>
  <c r="E39" i="94"/>
  <c r="E40" i="94"/>
  <c r="E41" i="94"/>
  <c r="E42" i="94"/>
  <c r="E43" i="94"/>
  <c r="E44" i="94"/>
  <c r="E45" i="94"/>
  <c r="E46" i="94"/>
  <c r="E47" i="94"/>
  <c r="E48" i="94"/>
  <c r="E49" i="94"/>
  <c r="E50" i="94"/>
  <c r="E51" i="94"/>
  <c r="E52" i="94"/>
  <c r="E53" i="94"/>
  <c r="E54" i="94"/>
  <c r="E55" i="94"/>
  <c r="E56" i="94"/>
  <c r="E57" i="94"/>
  <c r="E58" i="94"/>
  <c r="E59" i="94"/>
  <c r="E60" i="94"/>
  <c r="E61" i="94"/>
  <c r="E62" i="94"/>
  <c r="E63" i="94"/>
  <c r="E64" i="94"/>
  <c r="E65" i="94"/>
  <c r="E66" i="94"/>
  <c r="E67" i="94"/>
  <c r="E68" i="94"/>
  <c r="E69" i="94"/>
  <c r="E70" i="94"/>
  <c r="E71" i="94"/>
  <c r="E72" i="94"/>
  <c r="E73" i="94"/>
  <c r="E74" i="94"/>
  <c r="E75" i="94"/>
  <c r="E76" i="94"/>
  <c r="E77" i="94"/>
  <c r="E78" i="94"/>
  <c r="E79" i="94"/>
  <c r="E80" i="94"/>
  <c r="E81" i="94"/>
  <c r="E82" i="94"/>
  <c r="E83" i="94"/>
  <c r="E84" i="94"/>
  <c r="E85" i="94"/>
  <c r="E86" i="94"/>
  <c r="E87" i="94"/>
  <c r="E88" i="94"/>
  <c r="E89" i="94"/>
  <c r="E90" i="94"/>
  <c r="E91" i="94"/>
  <c r="E92" i="94"/>
  <c r="E93" i="94"/>
  <c r="E94" i="94"/>
  <c r="E95" i="94"/>
  <c r="E96" i="94"/>
  <c r="E97" i="94"/>
  <c r="E98" i="94"/>
  <c r="E99" i="94"/>
  <c r="E100" i="94"/>
  <c r="E101" i="94"/>
  <c r="E102" i="94"/>
  <c r="E103" i="94"/>
  <c r="E104" i="94"/>
  <c r="E105" i="94"/>
  <c r="E106" i="94"/>
  <c r="E107" i="94"/>
  <c r="E108" i="94"/>
  <c r="E109" i="94"/>
  <c r="E110" i="94"/>
  <c r="E111" i="94"/>
  <c r="E112" i="94"/>
  <c r="E113" i="94"/>
  <c r="E114" i="94"/>
  <c r="E115" i="94"/>
  <c r="E116" i="94"/>
  <c r="E117" i="94"/>
  <c r="E118" i="94"/>
  <c r="E119" i="94"/>
  <c r="E120" i="94"/>
  <c r="E121" i="94"/>
  <c r="E122" i="94"/>
  <c r="E123" i="94"/>
  <c r="E124" i="94"/>
  <c r="E125" i="94"/>
  <c r="E126" i="94"/>
  <c r="E127" i="94"/>
  <c r="E128" i="94"/>
  <c r="E129" i="94"/>
  <c r="E130" i="94"/>
  <c r="E131" i="94"/>
  <c r="E132" i="94"/>
  <c r="E133" i="94"/>
  <c r="E134" i="94"/>
  <c r="E135" i="94"/>
  <c r="E136" i="94"/>
  <c r="E137" i="94"/>
  <c r="E138" i="94"/>
  <c r="E139" i="94"/>
  <c r="E140" i="94"/>
  <c r="E141" i="94"/>
  <c r="E142" i="94"/>
  <c r="E143" i="94"/>
  <c r="E144" i="94"/>
  <c r="E145" i="94"/>
  <c r="E146" i="94"/>
  <c r="E147" i="94"/>
  <c r="E148" i="94"/>
  <c r="E149" i="94"/>
  <c r="E150" i="94"/>
  <c r="E151" i="94"/>
  <c r="E152" i="94"/>
  <c r="E153" i="94"/>
  <c r="E154" i="94"/>
  <c r="E155" i="94"/>
  <c r="E156" i="94"/>
  <c r="E157" i="94"/>
  <c r="E158" i="94"/>
  <c r="E159" i="94"/>
  <c r="E160" i="94"/>
  <c r="E161" i="94"/>
  <c r="E162" i="94"/>
  <c r="E163" i="94"/>
  <c r="E164" i="94"/>
  <c r="E165" i="94"/>
  <c r="E166" i="94"/>
  <c r="E167" i="94"/>
  <c r="E168" i="94"/>
  <c r="E169" i="94"/>
  <c r="E170" i="94"/>
  <c r="E171" i="94"/>
  <c r="E172" i="94"/>
  <c r="E173" i="94"/>
  <c r="E174" i="94"/>
  <c r="E175" i="94"/>
  <c r="E176" i="94"/>
  <c r="E177" i="94"/>
  <c r="E178" i="94"/>
  <c r="E179" i="94"/>
  <c r="E180" i="94"/>
  <c r="E181" i="94"/>
  <c r="E182" i="94"/>
  <c r="E183" i="94"/>
  <c r="E184" i="94"/>
  <c r="E185" i="94"/>
  <c r="E186" i="94"/>
  <c r="E187" i="94"/>
  <c r="E188" i="94"/>
  <c r="E189" i="94"/>
  <c r="E190" i="94"/>
  <c r="E191" i="94"/>
  <c r="E192" i="94"/>
  <c r="E193" i="94"/>
  <c r="E194" i="94"/>
  <c r="E195" i="94"/>
  <c r="E196" i="94"/>
  <c r="E197" i="94"/>
  <c r="E198" i="94"/>
  <c r="E199" i="94"/>
  <c r="E200" i="94"/>
  <c r="E201" i="94"/>
  <c r="E202" i="94"/>
  <c r="E203" i="94"/>
  <c r="E204" i="94"/>
  <c r="E205" i="94"/>
  <c r="E206" i="94"/>
  <c r="E207" i="94"/>
  <c r="E208" i="94"/>
  <c r="E209" i="94"/>
  <c r="E210" i="94"/>
  <c r="E211" i="94"/>
  <c r="E212" i="94"/>
  <c r="E213" i="94"/>
  <c r="E214" i="94"/>
  <c r="E215" i="94"/>
  <c r="E216" i="94"/>
  <c r="E217" i="94"/>
  <c r="E218" i="94"/>
  <c r="E219" i="94"/>
  <c r="E220" i="94"/>
  <c r="E221" i="94"/>
  <c r="E222" i="94"/>
  <c r="E223" i="94"/>
  <c r="E224" i="94"/>
  <c r="E225" i="94"/>
  <c r="E226" i="94"/>
  <c r="E227" i="94"/>
  <c r="E228" i="94"/>
  <c r="E229" i="94"/>
  <c r="E230" i="94"/>
  <c r="E231" i="94"/>
  <c r="E232" i="94"/>
  <c r="E233" i="94"/>
  <c r="E234" i="94"/>
  <c r="E235" i="94"/>
  <c r="E236" i="94"/>
  <c r="E237" i="94"/>
  <c r="E238" i="94"/>
  <c r="E239" i="94"/>
  <c r="E240" i="94"/>
  <c r="E241" i="94"/>
  <c r="E242" i="94"/>
  <c r="E243" i="94"/>
  <c r="E244" i="94"/>
  <c r="E245" i="94"/>
  <c r="E246" i="94"/>
  <c r="E247" i="94"/>
  <c r="E248" i="94"/>
  <c r="E249" i="94"/>
  <c r="E250" i="94"/>
  <c r="E251" i="94"/>
  <c r="E252" i="94"/>
  <c r="E253" i="94"/>
  <c r="E254" i="94"/>
  <c r="E255" i="94"/>
  <c r="E256" i="94"/>
  <c r="E257" i="94"/>
  <c r="E258" i="94"/>
  <c r="E259" i="94"/>
  <c r="E260" i="94"/>
  <c r="E261" i="94"/>
  <c r="E262" i="94"/>
  <c r="E263" i="94"/>
  <c r="E264" i="94"/>
  <c r="E265" i="94"/>
  <c r="E266" i="94"/>
  <c r="E267" i="94"/>
  <c r="E268" i="94"/>
  <c r="E269" i="94"/>
  <c r="E270" i="94"/>
  <c r="E271" i="94"/>
  <c r="E272" i="94"/>
  <c r="E273" i="94"/>
  <c r="E274" i="94"/>
  <c r="E275" i="94"/>
  <c r="E276" i="94"/>
  <c r="E277" i="94"/>
  <c r="E278" i="94"/>
  <c r="E279" i="94"/>
  <c r="E280" i="94"/>
  <c r="E281" i="94"/>
  <c r="E282" i="94"/>
  <c r="E283" i="94"/>
  <c r="E284" i="94"/>
  <c r="E285" i="94"/>
  <c r="E286" i="94"/>
  <c r="E287" i="94"/>
  <c r="E288" i="94"/>
  <c r="E289" i="94"/>
  <c r="E290" i="94"/>
  <c r="E291" i="94"/>
  <c r="E292" i="94"/>
  <c r="E293" i="94"/>
  <c r="E294" i="94"/>
  <c r="E295" i="94"/>
  <c r="E296" i="94"/>
  <c r="E297" i="94"/>
  <c r="E298" i="94"/>
  <c r="E299" i="94"/>
  <c r="E300" i="94"/>
  <c r="E301" i="94"/>
  <c r="E302" i="94"/>
  <c r="E303" i="94"/>
  <c r="E304" i="94"/>
  <c r="E305" i="94"/>
  <c r="E306" i="94"/>
  <c r="E307" i="94"/>
  <c r="E308" i="94"/>
  <c r="E309" i="94"/>
  <c r="E310" i="94"/>
  <c r="E311" i="94"/>
  <c r="E312" i="94"/>
  <c r="E313" i="94"/>
  <c r="E314" i="94"/>
  <c r="E315" i="94"/>
  <c r="E316" i="94"/>
  <c r="E317" i="94"/>
  <c r="E318" i="94"/>
  <c r="E319" i="94"/>
  <c r="E320" i="94"/>
  <c r="E321" i="94"/>
  <c r="E322" i="94"/>
  <c r="E2" i="9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A5FFB1D-94A9-46E6-98E5-521AEB77FBDC}" keepAlive="1" name="Consulta - resultado" description="Conexão com a consulta 'resultado' na pasta de trabalho." type="5" refreshedVersion="8" background="1">
    <dbPr connection="Provider=Microsoft.Mashup.OleDb.1;Data Source=$Workbook$;Location=resultado;Extended Properties=&quot;&quot;" command="SELECT * FROM [resultado]"/>
  </connection>
  <connection id="2" xr16:uid="{9FE44654-95DA-4937-9169-ECDDE15FFCAC}" name="Falso" type="6" refreshedVersion="0" background="1">
    <textPr prompt="0" sourceFile="Falso" decimal="," thousands=".">
      <textFields>
        <textField/>
      </textFields>
    </textPr>
  </connection>
  <connection id="3" xr16:uid="{9C902F79-1E79-4296-A62D-AA9BE1CA9563}" name="Falso1" type="6" refreshedVersion="0" background="1">
    <textPr prompt="0" sourceFile="Falso" decimal="," thousands=".">
      <textFields>
        <textField/>
      </textFields>
    </textPr>
  </connection>
  <connection id="4" xr16:uid="{D3144D09-1C1D-4564-996F-12C8E6348132}" name="Falso2" type="6" refreshedVersion="0" background="1">
    <textPr prompt="0" sourceFile="Falso" decimal="," thousands=".">
      <textFields>
        <textField/>
      </textFields>
    </textPr>
  </connection>
  <connection id="5" xr16:uid="{C3B145B5-BC3B-4185-897E-07EA5AA49AF5}" name="Falso3" type="6" refreshedVersion="0" background="1">
    <textPr prompt="0" sourceFile="Falso" decimal="," thousands=".">
      <textFields>
        <textField/>
      </textFields>
    </textPr>
  </connection>
  <connection id="6" xr16:uid="{180218DB-209B-45DE-B0C3-A4AFAFBC716B}" name="Falso4" type="6" refreshedVersion="0" background="1">
    <textPr prompt="0" sourceFile="Falso" decimal="," thousands=".">
      <textFields>
        <textField/>
      </textFields>
    </textPr>
  </connection>
  <connection id="7" xr16:uid="{150ACB29-C012-40AE-B430-BC946A1D6C9A}" name="Falso5" type="6" refreshedVersion="0" background="1">
    <textPr prompt="0" sourceFile="Falso" decimal="," thousands=".">
      <textFields>
        <textField/>
      </textFields>
    </textPr>
  </connection>
  <connection id="8" xr16:uid="{7ABFC73C-4687-439F-AD7B-E73AC298CF7A}" name="Falso6" type="6" refreshedVersion="0" background="1">
    <textPr prompt="0" sourceFile="Falso" decimal="," thousands=".">
      <textFields>
        <textField/>
      </textFields>
    </textPr>
  </connection>
  <connection id="9" xr16:uid="{26339CFF-C6B5-450D-86F7-193CD2197090}" name="Falso7" type="6" refreshedVersion="0" background="1">
    <textPr prompt="0" sourceFile="Falso" decimal="," thousands=".">
      <textFields>
        <textField/>
      </textFields>
    </textPr>
  </connection>
  <connection id="10" xr16:uid="{AFB89EE8-5DEC-4312-BA09-26892DD7773A}" name="Falso8" type="6" refreshedVersion="0" background="1">
    <textPr prompt="0" sourceFile="Falso" decimal="," thousands=".">
      <textFields>
        <textField/>
      </textFields>
    </textPr>
  </connection>
  <connection id="11" xr16:uid="{90F4B907-17C5-444F-9E66-06F4267B5C55}" name="Falso9" type="6" refreshedVersion="0" background="1">
    <textPr prompt="0" sourceFile="Falso" decimal="," thousands=".">
      <textFields>
        <textField/>
      </textFields>
    </textPr>
  </connection>
</connections>
</file>

<file path=xl/sharedStrings.xml><?xml version="1.0" encoding="utf-8"?>
<sst xmlns="http://schemas.openxmlformats.org/spreadsheetml/2006/main" count="767" uniqueCount="115">
  <si>
    <t>2ª Feira</t>
  </si>
  <si>
    <t>3ª Feira</t>
  </si>
  <si>
    <t>4ª Feira</t>
  </si>
  <si>
    <t>5ª Feira</t>
  </si>
  <si>
    <t>6ª Feira</t>
  </si>
  <si>
    <t>CCO1</t>
  </si>
  <si>
    <t>CCO7</t>
  </si>
  <si>
    <t>Poscomp12</t>
  </si>
  <si>
    <t>CCO3</t>
  </si>
  <si>
    <t>CCO2</t>
  </si>
  <si>
    <t>CCO5</t>
  </si>
  <si>
    <t>CCO6</t>
  </si>
  <si>
    <t>Optativas11</t>
  </si>
  <si>
    <t>CCO4</t>
  </si>
  <si>
    <t>Optativas12</t>
  </si>
  <si>
    <t>Poscomp11</t>
  </si>
  <si>
    <t>SIN1</t>
  </si>
  <si>
    <t>SIN2</t>
  </si>
  <si>
    <t>SIN4</t>
  </si>
  <si>
    <t>SIN3</t>
  </si>
  <si>
    <t>SIN8</t>
  </si>
  <si>
    <t>SIN5</t>
  </si>
  <si>
    <t>SIN9</t>
  </si>
  <si>
    <t>SIN6</t>
  </si>
  <si>
    <t>SIN7</t>
  </si>
  <si>
    <t>XRSC09</t>
  </si>
  <si>
    <t>CMAC04C</t>
  </si>
  <si>
    <t>CRSC08</t>
  </si>
  <si>
    <t>CMCO05C</t>
  </si>
  <si>
    <t>CRSC05C</t>
  </si>
  <si>
    <t>XMAC01C</t>
  </si>
  <si>
    <t>XMCO02</t>
  </si>
  <si>
    <t>XDES02C</t>
  </si>
  <si>
    <t>XMCO01C</t>
  </si>
  <si>
    <t>SDES06C</t>
  </si>
  <si>
    <t>PCO114</t>
  </si>
  <si>
    <t>XRSC01C</t>
  </si>
  <si>
    <t>CMAC03C</t>
  </si>
  <si>
    <t>CMAC05C</t>
  </si>
  <si>
    <t>CMCO06</t>
  </si>
  <si>
    <t>XMAC02C</t>
  </si>
  <si>
    <t>CTCO04C</t>
  </si>
  <si>
    <t>SADG02</t>
  </si>
  <si>
    <t>XDES04C</t>
  </si>
  <si>
    <t>CTCO03C</t>
  </si>
  <si>
    <t>XPAD08</t>
  </si>
  <si>
    <t>CDES05C</t>
  </si>
  <si>
    <t>CRSC02C</t>
  </si>
  <si>
    <t>XDES11</t>
  </si>
  <si>
    <t>XMCO03</t>
  </si>
  <si>
    <t>MAT00BC</t>
  </si>
  <si>
    <t>CTCO01C</t>
  </si>
  <si>
    <t>CTCO05C</t>
  </si>
  <si>
    <t>CTCO02C</t>
  </si>
  <si>
    <t>XPAD01C</t>
  </si>
  <si>
    <t>MAT00AC</t>
  </si>
  <si>
    <t>XRSC06</t>
  </si>
  <si>
    <t>IEPG21C</t>
  </si>
  <si>
    <t>XDES03C</t>
  </si>
  <si>
    <t>CIC111C</t>
  </si>
  <si>
    <t>CRSC04C</t>
  </si>
  <si>
    <t>XAHC02C</t>
  </si>
  <si>
    <t>CTCO06C</t>
  </si>
  <si>
    <t>XRSC07</t>
  </si>
  <si>
    <t>PCO112</t>
  </si>
  <si>
    <t>XDES01C</t>
  </si>
  <si>
    <t>XAHC03C</t>
  </si>
  <si>
    <t>CDES13</t>
  </si>
  <si>
    <t>PCO209</t>
  </si>
  <si>
    <t>CRSC03C</t>
  </si>
  <si>
    <t>CAHC04C</t>
  </si>
  <si>
    <t>ECOX21</t>
  </si>
  <si>
    <t>IEPG22S</t>
  </si>
  <si>
    <t>XRSC01S</t>
  </si>
  <si>
    <t>XPAD01S</t>
  </si>
  <si>
    <t>SADG01S</t>
  </si>
  <si>
    <t>XDES04S</t>
  </si>
  <si>
    <t>IEPG20S</t>
  </si>
  <si>
    <t>XAHC02S</t>
  </si>
  <si>
    <t>MAT00BS</t>
  </si>
  <si>
    <t>STCO02S</t>
  </si>
  <si>
    <t>SPAD02S</t>
  </si>
  <si>
    <t>XMAC02S</t>
  </si>
  <si>
    <t>XAHC01S</t>
  </si>
  <si>
    <t>XMAC01S</t>
  </si>
  <si>
    <t>IEPG14S</t>
  </si>
  <si>
    <t>XMCO01S</t>
  </si>
  <si>
    <t>STCO01S</t>
  </si>
  <si>
    <t>SRSC03S</t>
  </si>
  <si>
    <t>IEPG21S</t>
  </si>
  <si>
    <t>MAT00AS</t>
  </si>
  <si>
    <t>XDES02S</t>
  </si>
  <si>
    <t>XDES03S</t>
  </si>
  <si>
    <t>XDES01S</t>
  </si>
  <si>
    <t>ADM51ES</t>
  </si>
  <si>
    <t>SPAD03S</t>
  </si>
  <si>
    <t>IEPG04S</t>
  </si>
  <si>
    <t>XAHC03S</t>
  </si>
  <si>
    <t>SAHC05S</t>
  </si>
  <si>
    <t>SDES06S</t>
  </si>
  <si>
    <t>SDES07S</t>
  </si>
  <si>
    <t>XPAD04</t>
  </si>
  <si>
    <t>SAHC04S</t>
  </si>
  <si>
    <t>SDES05S</t>
  </si>
  <si>
    <t>XPAD09</t>
  </si>
  <si>
    <t>SMAC03S</t>
  </si>
  <si>
    <t>SRSC02S</t>
  </si>
  <si>
    <t>IEPG10S</t>
  </si>
  <si>
    <t>IEPG01S</t>
  </si>
  <si>
    <t>ADM03ES</t>
  </si>
  <si>
    <t>Curso</t>
  </si>
  <si>
    <t>Dia</t>
  </si>
  <si>
    <t>Horário</t>
  </si>
  <si>
    <t>Disciplina</t>
  </si>
  <si>
    <t>aux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</si>
</sst>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1"/>
      <color theme="1"/>
      <name val="Arial Nova Cond"/>
      <family val="2"/>
    </font>
    <font>
      <sz val="12"/>
      <color rgb="FF000000"/>
      <name val="Arial"/>
      <family val="2"/>
    </font>
    <font>
      <b/>
      <sz val="12"/>
      <color rgb="FF000000"/>
      <name val="Arial"/>
      <family val="2"/>
    </font>
    <font>
      <sz val="11"/>
      <color theme="0"/>
      <name val="Arial Nova Cond"/>
      <family val="2"/>
    </font>
  </fonts>
  <fills count="4">
    <fill>
      <patternFill patternType="none"/>
    </fill>
    <fill>
      <patternFill patternType="gray125"/>
    </fill>
    <fill>
      <patternFill patternType="solid">
        <fgColor rgb="FF156082"/>
        <bgColor indexed="64"/>
      </patternFill>
    </fill>
    <fill>
      <patternFill patternType="solid">
        <fgColor rgb="FFCAE8F6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2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20" fontId="3" fillId="0" borderId="4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156082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156082"/>
      <color rgb="FFCAE8F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CCO6'!A1"/><Relationship Id="rId3" Type="http://schemas.openxmlformats.org/officeDocument/2006/relationships/hyperlink" Target="#Poscomp11!A1"/><Relationship Id="rId7" Type="http://schemas.openxmlformats.org/officeDocument/2006/relationships/hyperlink" Target="#'CCO5'!A1"/><Relationship Id="rId2" Type="http://schemas.openxmlformats.org/officeDocument/2006/relationships/hyperlink" Target="#Optativas11!A1"/><Relationship Id="rId1" Type="http://schemas.openxmlformats.org/officeDocument/2006/relationships/hyperlink" Target="#'SIN1'!A1"/><Relationship Id="rId6" Type="http://schemas.openxmlformats.org/officeDocument/2006/relationships/hyperlink" Target="#'CCO4'!A1"/><Relationship Id="rId5" Type="http://schemas.openxmlformats.org/officeDocument/2006/relationships/hyperlink" Target="#'CCO3'!A1"/><Relationship Id="rId4" Type="http://schemas.openxmlformats.org/officeDocument/2006/relationships/hyperlink" Target="#'CCO2'!A1"/><Relationship Id="rId9" Type="http://schemas.openxmlformats.org/officeDocument/2006/relationships/hyperlink" Target="#'CCO7'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CCO6'!A1"/><Relationship Id="rId3" Type="http://schemas.openxmlformats.org/officeDocument/2006/relationships/hyperlink" Target="#Poscomp11!A1"/><Relationship Id="rId7" Type="http://schemas.openxmlformats.org/officeDocument/2006/relationships/hyperlink" Target="#'CCO5'!A1"/><Relationship Id="rId2" Type="http://schemas.openxmlformats.org/officeDocument/2006/relationships/hyperlink" Target="#Optativas11!A1"/><Relationship Id="rId1" Type="http://schemas.openxmlformats.org/officeDocument/2006/relationships/hyperlink" Target="#'SIN1'!A1"/><Relationship Id="rId6" Type="http://schemas.openxmlformats.org/officeDocument/2006/relationships/hyperlink" Target="#'CCO4'!A1"/><Relationship Id="rId5" Type="http://schemas.openxmlformats.org/officeDocument/2006/relationships/hyperlink" Target="#'CCO3'!A1"/><Relationship Id="rId4" Type="http://schemas.openxmlformats.org/officeDocument/2006/relationships/hyperlink" Target="#'CCO1'!A1"/><Relationship Id="rId9" Type="http://schemas.openxmlformats.org/officeDocument/2006/relationships/hyperlink" Target="#'CCO7'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CCO6'!A1"/><Relationship Id="rId3" Type="http://schemas.openxmlformats.org/officeDocument/2006/relationships/hyperlink" Target="#Poscomp11!A1"/><Relationship Id="rId7" Type="http://schemas.openxmlformats.org/officeDocument/2006/relationships/hyperlink" Target="#'CCO5'!A1"/><Relationship Id="rId2" Type="http://schemas.openxmlformats.org/officeDocument/2006/relationships/hyperlink" Target="#Optativas11!A1"/><Relationship Id="rId1" Type="http://schemas.openxmlformats.org/officeDocument/2006/relationships/hyperlink" Target="#'SIN1'!A1"/><Relationship Id="rId6" Type="http://schemas.openxmlformats.org/officeDocument/2006/relationships/hyperlink" Target="#'CCO4'!A1"/><Relationship Id="rId5" Type="http://schemas.openxmlformats.org/officeDocument/2006/relationships/hyperlink" Target="#'CCO2'!A1"/><Relationship Id="rId4" Type="http://schemas.openxmlformats.org/officeDocument/2006/relationships/hyperlink" Target="#'CCO1'!A1"/><Relationship Id="rId9" Type="http://schemas.openxmlformats.org/officeDocument/2006/relationships/hyperlink" Target="#'CCO7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CCO6'!A1"/><Relationship Id="rId3" Type="http://schemas.openxmlformats.org/officeDocument/2006/relationships/hyperlink" Target="#Poscomp11!A1"/><Relationship Id="rId7" Type="http://schemas.openxmlformats.org/officeDocument/2006/relationships/hyperlink" Target="#'CCO5'!A1"/><Relationship Id="rId2" Type="http://schemas.openxmlformats.org/officeDocument/2006/relationships/hyperlink" Target="#Optativas11!A1"/><Relationship Id="rId1" Type="http://schemas.openxmlformats.org/officeDocument/2006/relationships/hyperlink" Target="#'SIN1'!A1"/><Relationship Id="rId6" Type="http://schemas.openxmlformats.org/officeDocument/2006/relationships/hyperlink" Target="#'CCO3'!A1"/><Relationship Id="rId5" Type="http://schemas.openxmlformats.org/officeDocument/2006/relationships/hyperlink" Target="#'CCO2'!A1"/><Relationship Id="rId4" Type="http://schemas.openxmlformats.org/officeDocument/2006/relationships/hyperlink" Target="#'CCO1'!A1"/><Relationship Id="rId9" Type="http://schemas.openxmlformats.org/officeDocument/2006/relationships/hyperlink" Target="#'CCO7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CCO6'!A1"/><Relationship Id="rId3" Type="http://schemas.openxmlformats.org/officeDocument/2006/relationships/hyperlink" Target="#Poscomp11!A1"/><Relationship Id="rId7" Type="http://schemas.openxmlformats.org/officeDocument/2006/relationships/hyperlink" Target="#'CCO4'!A1"/><Relationship Id="rId2" Type="http://schemas.openxmlformats.org/officeDocument/2006/relationships/hyperlink" Target="#Optativas11!A1"/><Relationship Id="rId1" Type="http://schemas.openxmlformats.org/officeDocument/2006/relationships/hyperlink" Target="#'SIN1'!A1"/><Relationship Id="rId6" Type="http://schemas.openxmlformats.org/officeDocument/2006/relationships/hyperlink" Target="#'CCO3'!A1"/><Relationship Id="rId5" Type="http://schemas.openxmlformats.org/officeDocument/2006/relationships/hyperlink" Target="#'CCO2'!A1"/><Relationship Id="rId4" Type="http://schemas.openxmlformats.org/officeDocument/2006/relationships/hyperlink" Target="#'CCO1'!A1"/><Relationship Id="rId9" Type="http://schemas.openxmlformats.org/officeDocument/2006/relationships/hyperlink" Target="#'CCO7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'CCO5'!A1"/><Relationship Id="rId3" Type="http://schemas.openxmlformats.org/officeDocument/2006/relationships/hyperlink" Target="#Poscomp11!A1"/><Relationship Id="rId7" Type="http://schemas.openxmlformats.org/officeDocument/2006/relationships/hyperlink" Target="#'CCO4'!A1"/><Relationship Id="rId2" Type="http://schemas.openxmlformats.org/officeDocument/2006/relationships/hyperlink" Target="#Optativas11!A1"/><Relationship Id="rId1" Type="http://schemas.openxmlformats.org/officeDocument/2006/relationships/hyperlink" Target="#'SIN1'!A1"/><Relationship Id="rId6" Type="http://schemas.openxmlformats.org/officeDocument/2006/relationships/hyperlink" Target="#'CCO3'!A1"/><Relationship Id="rId5" Type="http://schemas.openxmlformats.org/officeDocument/2006/relationships/hyperlink" Target="#'CCO2'!A1"/><Relationship Id="rId4" Type="http://schemas.openxmlformats.org/officeDocument/2006/relationships/hyperlink" Target="#'CCO1'!A1"/><Relationship Id="rId9" Type="http://schemas.openxmlformats.org/officeDocument/2006/relationships/hyperlink" Target="#'CCO7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CCO5'!A1"/><Relationship Id="rId3" Type="http://schemas.openxmlformats.org/officeDocument/2006/relationships/hyperlink" Target="#Poscomp11!A1"/><Relationship Id="rId7" Type="http://schemas.openxmlformats.org/officeDocument/2006/relationships/hyperlink" Target="#'CCO4'!A1"/><Relationship Id="rId2" Type="http://schemas.openxmlformats.org/officeDocument/2006/relationships/hyperlink" Target="#Optativas11!A1"/><Relationship Id="rId1" Type="http://schemas.openxmlformats.org/officeDocument/2006/relationships/hyperlink" Target="#'SIN1'!A1"/><Relationship Id="rId6" Type="http://schemas.openxmlformats.org/officeDocument/2006/relationships/hyperlink" Target="#'CCO3'!A1"/><Relationship Id="rId5" Type="http://schemas.openxmlformats.org/officeDocument/2006/relationships/hyperlink" Target="#'CCO2'!A1"/><Relationship Id="rId4" Type="http://schemas.openxmlformats.org/officeDocument/2006/relationships/hyperlink" Target="#'CCO1'!A1"/><Relationship Id="rId9" Type="http://schemas.openxmlformats.org/officeDocument/2006/relationships/hyperlink" Target="#'CCO6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'SIN6'!A1"/><Relationship Id="rId3" Type="http://schemas.openxmlformats.org/officeDocument/2006/relationships/hyperlink" Target="#Poscomp11!A1"/><Relationship Id="rId7" Type="http://schemas.openxmlformats.org/officeDocument/2006/relationships/hyperlink" Target="#'SIN5'!A1"/><Relationship Id="rId2" Type="http://schemas.openxmlformats.org/officeDocument/2006/relationships/hyperlink" Target="#Optativas11!A1"/><Relationship Id="rId1" Type="http://schemas.openxmlformats.org/officeDocument/2006/relationships/hyperlink" Target="#'CCO1'!A1"/><Relationship Id="rId6" Type="http://schemas.openxmlformats.org/officeDocument/2006/relationships/hyperlink" Target="#'SIN4'!A1"/><Relationship Id="rId11" Type="http://schemas.openxmlformats.org/officeDocument/2006/relationships/hyperlink" Target="#'SIN9'!A1"/><Relationship Id="rId5" Type="http://schemas.openxmlformats.org/officeDocument/2006/relationships/hyperlink" Target="#'SIN3'!A1"/><Relationship Id="rId10" Type="http://schemas.openxmlformats.org/officeDocument/2006/relationships/hyperlink" Target="#'SIN8'!A1"/><Relationship Id="rId4" Type="http://schemas.openxmlformats.org/officeDocument/2006/relationships/hyperlink" Target="#'SIN2'!A1"/><Relationship Id="rId9" Type="http://schemas.openxmlformats.org/officeDocument/2006/relationships/hyperlink" Target="#'SIN7'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SIN6'!A1"/><Relationship Id="rId3" Type="http://schemas.openxmlformats.org/officeDocument/2006/relationships/hyperlink" Target="#Poscomp12!A1"/><Relationship Id="rId7" Type="http://schemas.openxmlformats.org/officeDocument/2006/relationships/hyperlink" Target="#'SIN5'!A1"/><Relationship Id="rId2" Type="http://schemas.openxmlformats.org/officeDocument/2006/relationships/hyperlink" Target="#Optativas11!A1"/><Relationship Id="rId1" Type="http://schemas.openxmlformats.org/officeDocument/2006/relationships/hyperlink" Target="#'CCO1'!A1"/><Relationship Id="rId6" Type="http://schemas.openxmlformats.org/officeDocument/2006/relationships/hyperlink" Target="#'SIN4'!A1"/><Relationship Id="rId11" Type="http://schemas.openxmlformats.org/officeDocument/2006/relationships/hyperlink" Target="#'SIN9'!A1"/><Relationship Id="rId5" Type="http://schemas.openxmlformats.org/officeDocument/2006/relationships/hyperlink" Target="#'SIN3'!A1"/><Relationship Id="rId10" Type="http://schemas.openxmlformats.org/officeDocument/2006/relationships/hyperlink" Target="#'SIN8'!A1"/><Relationship Id="rId4" Type="http://schemas.openxmlformats.org/officeDocument/2006/relationships/hyperlink" Target="#'SIN1'!A1"/><Relationship Id="rId9" Type="http://schemas.openxmlformats.org/officeDocument/2006/relationships/hyperlink" Target="#'SIN7'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SIN6'!A1"/><Relationship Id="rId3" Type="http://schemas.openxmlformats.org/officeDocument/2006/relationships/hyperlink" Target="#Poscomp11!A1"/><Relationship Id="rId7" Type="http://schemas.openxmlformats.org/officeDocument/2006/relationships/hyperlink" Target="#'SIN5'!A1"/><Relationship Id="rId2" Type="http://schemas.openxmlformats.org/officeDocument/2006/relationships/hyperlink" Target="#Optativas11!A1"/><Relationship Id="rId1" Type="http://schemas.openxmlformats.org/officeDocument/2006/relationships/hyperlink" Target="#'CCO1'!A1"/><Relationship Id="rId6" Type="http://schemas.openxmlformats.org/officeDocument/2006/relationships/hyperlink" Target="#'SIN4'!A1"/><Relationship Id="rId11" Type="http://schemas.openxmlformats.org/officeDocument/2006/relationships/hyperlink" Target="#'SIN9'!A1"/><Relationship Id="rId5" Type="http://schemas.openxmlformats.org/officeDocument/2006/relationships/hyperlink" Target="#'SIN2'!A1"/><Relationship Id="rId10" Type="http://schemas.openxmlformats.org/officeDocument/2006/relationships/hyperlink" Target="#'SIN8'!A1"/><Relationship Id="rId4" Type="http://schemas.openxmlformats.org/officeDocument/2006/relationships/hyperlink" Target="#'SIN1'!A1"/><Relationship Id="rId9" Type="http://schemas.openxmlformats.org/officeDocument/2006/relationships/hyperlink" Target="#'SIN7'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SIN6'!A1"/><Relationship Id="rId3" Type="http://schemas.openxmlformats.org/officeDocument/2006/relationships/hyperlink" Target="#Poscomp11!A1"/><Relationship Id="rId7" Type="http://schemas.openxmlformats.org/officeDocument/2006/relationships/hyperlink" Target="#'SIN5'!A1"/><Relationship Id="rId2" Type="http://schemas.openxmlformats.org/officeDocument/2006/relationships/hyperlink" Target="#Optativas11!A1"/><Relationship Id="rId1" Type="http://schemas.openxmlformats.org/officeDocument/2006/relationships/hyperlink" Target="#'CCO1'!A1"/><Relationship Id="rId6" Type="http://schemas.openxmlformats.org/officeDocument/2006/relationships/hyperlink" Target="#'SIN3'!A1"/><Relationship Id="rId11" Type="http://schemas.openxmlformats.org/officeDocument/2006/relationships/hyperlink" Target="#'SIN9'!A1"/><Relationship Id="rId5" Type="http://schemas.openxmlformats.org/officeDocument/2006/relationships/hyperlink" Target="#'SIN2'!A1"/><Relationship Id="rId10" Type="http://schemas.openxmlformats.org/officeDocument/2006/relationships/hyperlink" Target="#'SIN8'!A1"/><Relationship Id="rId4" Type="http://schemas.openxmlformats.org/officeDocument/2006/relationships/hyperlink" Target="#'SIN1'!A1"/><Relationship Id="rId9" Type="http://schemas.openxmlformats.org/officeDocument/2006/relationships/hyperlink" Target="#'SIN7'!A1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hyperlink" Target="#'SIN6'!A1"/><Relationship Id="rId3" Type="http://schemas.openxmlformats.org/officeDocument/2006/relationships/hyperlink" Target="#Poscomp11!A1"/><Relationship Id="rId7" Type="http://schemas.openxmlformats.org/officeDocument/2006/relationships/hyperlink" Target="#'SIN4'!A1"/><Relationship Id="rId2" Type="http://schemas.openxmlformats.org/officeDocument/2006/relationships/hyperlink" Target="#Optativas11!A1"/><Relationship Id="rId1" Type="http://schemas.openxmlformats.org/officeDocument/2006/relationships/hyperlink" Target="#'CCO1'!A1"/><Relationship Id="rId6" Type="http://schemas.openxmlformats.org/officeDocument/2006/relationships/hyperlink" Target="#'SIN3'!A1"/><Relationship Id="rId11" Type="http://schemas.openxmlformats.org/officeDocument/2006/relationships/hyperlink" Target="#'SIN9'!A1"/><Relationship Id="rId5" Type="http://schemas.openxmlformats.org/officeDocument/2006/relationships/hyperlink" Target="#'SIN2'!A1"/><Relationship Id="rId10" Type="http://schemas.openxmlformats.org/officeDocument/2006/relationships/hyperlink" Target="#'SIN8'!A1"/><Relationship Id="rId4" Type="http://schemas.openxmlformats.org/officeDocument/2006/relationships/hyperlink" Target="#'SIN1'!A1"/><Relationship Id="rId9" Type="http://schemas.openxmlformats.org/officeDocument/2006/relationships/hyperlink" Target="#'SIN7'!A1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hyperlink" Target="#'SIN5'!A1"/><Relationship Id="rId3" Type="http://schemas.openxmlformats.org/officeDocument/2006/relationships/hyperlink" Target="#Poscomp11!A1"/><Relationship Id="rId7" Type="http://schemas.openxmlformats.org/officeDocument/2006/relationships/hyperlink" Target="#'SIN4'!A1"/><Relationship Id="rId2" Type="http://schemas.openxmlformats.org/officeDocument/2006/relationships/hyperlink" Target="#Optativas11!A1"/><Relationship Id="rId1" Type="http://schemas.openxmlformats.org/officeDocument/2006/relationships/hyperlink" Target="#'CCO1'!A1"/><Relationship Id="rId6" Type="http://schemas.openxmlformats.org/officeDocument/2006/relationships/hyperlink" Target="#'SIN3'!A1"/><Relationship Id="rId11" Type="http://schemas.openxmlformats.org/officeDocument/2006/relationships/hyperlink" Target="#'SIN9'!A1"/><Relationship Id="rId5" Type="http://schemas.openxmlformats.org/officeDocument/2006/relationships/hyperlink" Target="#'SIN2'!A1"/><Relationship Id="rId10" Type="http://schemas.openxmlformats.org/officeDocument/2006/relationships/hyperlink" Target="#'SIN8'!A1"/><Relationship Id="rId4" Type="http://schemas.openxmlformats.org/officeDocument/2006/relationships/hyperlink" Target="#'SIN1'!A1"/><Relationship Id="rId9" Type="http://schemas.openxmlformats.org/officeDocument/2006/relationships/hyperlink" Target="#'SIN7'!A1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hyperlink" Target="#'SIN5'!A1"/><Relationship Id="rId3" Type="http://schemas.openxmlformats.org/officeDocument/2006/relationships/hyperlink" Target="#Poscomp11!A1"/><Relationship Id="rId7" Type="http://schemas.openxmlformats.org/officeDocument/2006/relationships/hyperlink" Target="#'SIN4'!A1"/><Relationship Id="rId2" Type="http://schemas.openxmlformats.org/officeDocument/2006/relationships/hyperlink" Target="#Optativas11!A1"/><Relationship Id="rId1" Type="http://schemas.openxmlformats.org/officeDocument/2006/relationships/hyperlink" Target="#'CCO1'!A1"/><Relationship Id="rId6" Type="http://schemas.openxmlformats.org/officeDocument/2006/relationships/hyperlink" Target="#'SIN3'!A1"/><Relationship Id="rId11" Type="http://schemas.openxmlformats.org/officeDocument/2006/relationships/hyperlink" Target="#'SIN9'!A1"/><Relationship Id="rId5" Type="http://schemas.openxmlformats.org/officeDocument/2006/relationships/hyperlink" Target="#'SIN2'!A1"/><Relationship Id="rId10" Type="http://schemas.openxmlformats.org/officeDocument/2006/relationships/hyperlink" Target="#'SIN8'!A1"/><Relationship Id="rId4" Type="http://schemas.openxmlformats.org/officeDocument/2006/relationships/hyperlink" Target="#'SIN1'!A1"/><Relationship Id="rId9" Type="http://schemas.openxmlformats.org/officeDocument/2006/relationships/hyperlink" Target="#'SIN6'!A1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hyperlink" Target="#'SIN5'!A1"/><Relationship Id="rId3" Type="http://schemas.openxmlformats.org/officeDocument/2006/relationships/hyperlink" Target="#Poscomp11!A1"/><Relationship Id="rId7" Type="http://schemas.openxmlformats.org/officeDocument/2006/relationships/hyperlink" Target="#'SIN4'!A1"/><Relationship Id="rId2" Type="http://schemas.openxmlformats.org/officeDocument/2006/relationships/hyperlink" Target="#Optativas11!A1"/><Relationship Id="rId1" Type="http://schemas.openxmlformats.org/officeDocument/2006/relationships/hyperlink" Target="#'CCO1'!A1"/><Relationship Id="rId6" Type="http://schemas.openxmlformats.org/officeDocument/2006/relationships/hyperlink" Target="#'SIN3'!A1"/><Relationship Id="rId11" Type="http://schemas.openxmlformats.org/officeDocument/2006/relationships/hyperlink" Target="#'SIN9'!A1"/><Relationship Id="rId5" Type="http://schemas.openxmlformats.org/officeDocument/2006/relationships/hyperlink" Target="#'SIN2'!A1"/><Relationship Id="rId10" Type="http://schemas.openxmlformats.org/officeDocument/2006/relationships/hyperlink" Target="#'SIN7'!A1"/><Relationship Id="rId4" Type="http://schemas.openxmlformats.org/officeDocument/2006/relationships/hyperlink" Target="#'SIN1'!A1"/><Relationship Id="rId9" Type="http://schemas.openxmlformats.org/officeDocument/2006/relationships/hyperlink" Target="#'SIN6'!A1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hyperlink" Target="#'SIN5'!A1"/><Relationship Id="rId3" Type="http://schemas.openxmlformats.org/officeDocument/2006/relationships/hyperlink" Target="#Poscomp11!A1"/><Relationship Id="rId7" Type="http://schemas.openxmlformats.org/officeDocument/2006/relationships/hyperlink" Target="#'SIN4'!A1"/><Relationship Id="rId2" Type="http://schemas.openxmlformats.org/officeDocument/2006/relationships/hyperlink" Target="#Optativas11!A1"/><Relationship Id="rId1" Type="http://schemas.openxmlformats.org/officeDocument/2006/relationships/hyperlink" Target="#'CCO1'!A1"/><Relationship Id="rId6" Type="http://schemas.openxmlformats.org/officeDocument/2006/relationships/hyperlink" Target="#'SIN3'!A1"/><Relationship Id="rId11" Type="http://schemas.openxmlformats.org/officeDocument/2006/relationships/hyperlink" Target="#'SIN8'!A1"/><Relationship Id="rId5" Type="http://schemas.openxmlformats.org/officeDocument/2006/relationships/hyperlink" Target="#'SIN2'!A1"/><Relationship Id="rId10" Type="http://schemas.openxmlformats.org/officeDocument/2006/relationships/hyperlink" Target="#'SIN7'!A1"/><Relationship Id="rId4" Type="http://schemas.openxmlformats.org/officeDocument/2006/relationships/hyperlink" Target="#'SIN1'!A1"/><Relationship Id="rId9" Type="http://schemas.openxmlformats.org/officeDocument/2006/relationships/hyperlink" Target="#'SIN6'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Poscomp11!A1"/><Relationship Id="rId2" Type="http://schemas.openxmlformats.org/officeDocument/2006/relationships/hyperlink" Target="#'SIN1'!A1"/><Relationship Id="rId1" Type="http://schemas.openxmlformats.org/officeDocument/2006/relationships/hyperlink" Target="#'CCO1'!A1"/><Relationship Id="rId4" Type="http://schemas.openxmlformats.org/officeDocument/2006/relationships/hyperlink" Target="#Optativas12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Poscomp11!A1"/><Relationship Id="rId2" Type="http://schemas.openxmlformats.org/officeDocument/2006/relationships/hyperlink" Target="#'SIN1'!A1"/><Relationship Id="rId1" Type="http://schemas.openxmlformats.org/officeDocument/2006/relationships/hyperlink" Target="#'CCO1'!A1"/><Relationship Id="rId4" Type="http://schemas.openxmlformats.org/officeDocument/2006/relationships/hyperlink" Target="#Optativas11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hyperlink" Target="#Optativas11!A1"/><Relationship Id="rId2" Type="http://schemas.openxmlformats.org/officeDocument/2006/relationships/hyperlink" Target="#'SIN1'!A1"/><Relationship Id="rId1" Type="http://schemas.openxmlformats.org/officeDocument/2006/relationships/hyperlink" Target="#'CCO1'!A1"/><Relationship Id="rId4" Type="http://schemas.openxmlformats.org/officeDocument/2006/relationships/hyperlink" Target="#Poscomp12!A1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hyperlink" Target="#Optativas11!A1"/><Relationship Id="rId2" Type="http://schemas.openxmlformats.org/officeDocument/2006/relationships/hyperlink" Target="#'SIN1'!A1"/><Relationship Id="rId1" Type="http://schemas.openxmlformats.org/officeDocument/2006/relationships/hyperlink" Target="#'CCO1'!A1"/><Relationship Id="rId4" Type="http://schemas.openxmlformats.org/officeDocument/2006/relationships/hyperlink" Target="#Poscomp11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352425</xdr:rowOff>
    </xdr:from>
    <xdr:to>
      <xdr:col>2</xdr:col>
      <xdr:colOff>9524</xdr:colOff>
      <xdr:row>2</xdr:row>
      <xdr:rowOff>28575</xdr:rowOff>
    </xdr:to>
    <xdr:sp macro="[0]!import_csv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1638AE7-EA6F-86C8-EABC-E2565E64D085}"/>
            </a:ext>
          </a:extLst>
        </xdr:cNvPr>
        <xdr:cNvSpPr/>
      </xdr:nvSpPr>
      <xdr:spPr>
        <a:xfrm>
          <a:off x="0" y="352425"/>
          <a:ext cx="1990724" cy="438150"/>
        </a:xfrm>
        <a:prstGeom prst="roundRect">
          <a:avLst>
            <a:gd name="adj" fmla="val 0"/>
          </a:avLst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tx1"/>
              </a:solidFill>
              <a:latin typeface="Arial Nova Cond" panose="020B0506020202020204" pitchFamily="34" charset="0"/>
            </a:rPr>
            <a:t>GERAR</a:t>
          </a:r>
          <a:r>
            <a:rPr lang="pt-BR" sz="1400" baseline="0">
              <a:solidFill>
                <a:schemeClr val="tx1"/>
              </a:solidFill>
              <a:latin typeface="Arial Nova Cond" panose="020B0506020202020204" pitchFamily="34" charset="0"/>
            </a:rPr>
            <a:t> TABELAS</a:t>
          </a:r>
          <a:endParaRPr lang="pt-BR" sz="1400">
            <a:solidFill>
              <a:schemeClr val="tx1"/>
            </a:solidFill>
            <a:latin typeface="Arial Nova Cond" panose="020B0506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5</xdr:row>
      <xdr:rowOff>314325</xdr:rowOff>
    </xdr:from>
    <xdr:to>
      <xdr:col>2</xdr:col>
      <xdr:colOff>9524</xdr:colOff>
      <xdr:row>7</xdr:row>
      <xdr:rowOff>47625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B3C6C36B-D741-4305-67BD-C6183CD002EF}"/>
            </a:ext>
          </a:extLst>
        </xdr:cNvPr>
        <xdr:cNvSpPr/>
      </xdr:nvSpPr>
      <xdr:spPr>
        <a:xfrm>
          <a:off x="0" y="2133600"/>
          <a:ext cx="1990724" cy="438150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tx1"/>
              </a:solidFill>
              <a:latin typeface="Arial Nova Cond" panose="020B0506020202020204" pitchFamily="34" charset="0"/>
            </a:rPr>
            <a:t>CCO</a:t>
          </a:r>
        </a:p>
      </xdr:txBody>
    </xdr:sp>
    <xdr:clientData/>
  </xdr:twoCellAnchor>
  <xdr:twoCellAnchor editAs="absolute">
    <xdr:from>
      <xdr:col>0</xdr:col>
      <xdr:colOff>0</xdr:colOff>
      <xdr:row>7</xdr:row>
      <xdr:rowOff>114300</xdr:rowOff>
    </xdr:from>
    <xdr:to>
      <xdr:col>2</xdr:col>
      <xdr:colOff>9524</xdr:colOff>
      <xdr:row>8</xdr:row>
      <xdr:rowOff>200025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EDA16DA-8223-E7E0-B5B0-EFAEA15EADE7}"/>
            </a:ext>
          </a:extLst>
        </xdr:cNvPr>
        <xdr:cNvSpPr/>
      </xdr:nvSpPr>
      <xdr:spPr>
        <a:xfrm>
          <a:off x="0" y="2638425"/>
          <a:ext cx="1990724" cy="438150"/>
        </a:xfrm>
        <a:prstGeom prst="roundRect">
          <a:avLst>
            <a:gd name="adj" fmla="val 0"/>
          </a:avLst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>
                  <a:lumMod val="95000"/>
                </a:schemeClr>
              </a:solidFill>
              <a:latin typeface="Arial Nova Cond" panose="020B0506020202020204" pitchFamily="34" charset="0"/>
            </a:rPr>
            <a:t>SIN</a:t>
          </a:r>
        </a:p>
      </xdr:txBody>
    </xdr:sp>
    <xdr:clientData/>
  </xdr:twoCellAnchor>
  <xdr:twoCellAnchor editAs="absolute">
    <xdr:from>
      <xdr:col>0</xdr:col>
      <xdr:colOff>0</xdr:colOff>
      <xdr:row>8</xdr:row>
      <xdr:rowOff>266700</xdr:rowOff>
    </xdr:from>
    <xdr:to>
      <xdr:col>2</xdr:col>
      <xdr:colOff>9524</xdr:colOff>
      <xdr:row>10</xdr:row>
      <xdr:rowOff>238125</xdr:rowOff>
    </xdr:to>
    <xdr:sp macro="" textlink="">
      <xdr:nvSpPr>
        <xdr:cNvPr id="6" name="Retângulo: Cantos Arredondados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7468DC-1564-4121-B2D1-09F9F7945BAA}"/>
            </a:ext>
          </a:extLst>
        </xdr:cNvPr>
        <xdr:cNvSpPr/>
      </xdr:nvSpPr>
      <xdr:spPr>
        <a:xfrm>
          <a:off x="0" y="3143250"/>
          <a:ext cx="1990724" cy="438150"/>
        </a:xfrm>
        <a:prstGeom prst="roundRect">
          <a:avLst>
            <a:gd name="adj" fmla="val 0"/>
          </a:avLst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>
                  <a:lumMod val="95000"/>
                </a:schemeClr>
              </a:solidFill>
              <a:latin typeface="Arial Nova Cond" panose="020B0506020202020204" pitchFamily="34" charset="0"/>
            </a:rPr>
            <a:t>Optativas</a:t>
          </a:r>
        </a:p>
      </xdr:txBody>
    </xdr:sp>
    <xdr:clientData/>
  </xdr:twoCellAnchor>
  <xdr:twoCellAnchor editAs="absolute">
    <xdr:from>
      <xdr:col>0</xdr:col>
      <xdr:colOff>0</xdr:colOff>
      <xdr:row>10</xdr:row>
      <xdr:rowOff>304800</xdr:rowOff>
    </xdr:from>
    <xdr:to>
      <xdr:col>2</xdr:col>
      <xdr:colOff>9524</xdr:colOff>
      <xdr:row>12</xdr:row>
      <xdr:rowOff>38100</xdr:rowOff>
    </xdr:to>
    <xdr:sp macro="" textlink="">
      <xdr:nvSpPr>
        <xdr:cNvPr id="7" name="Retângulo: Cantos Arredondados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1268FEB-0F8E-CA08-BF22-6027BC332183}"/>
            </a:ext>
          </a:extLst>
        </xdr:cNvPr>
        <xdr:cNvSpPr/>
      </xdr:nvSpPr>
      <xdr:spPr>
        <a:xfrm>
          <a:off x="0" y="3648075"/>
          <a:ext cx="1990724" cy="438150"/>
        </a:xfrm>
        <a:prstGeom prst="roundRect">
          <a:avLst>
            <a:gd name="adj" fmla="val 0"/>
          </a:avLst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>
                  <a:lumMod val="95000"/>
                </a:schemeClr>
              </a:solidFill>
              <a:latin typeface="Arial Nova Cond" panose="020B0506020202020204" pitchFamily="34" charset="0"/>
            </a:rPr>
            <a:t>Poscomp</a:t>
          </a:r>
        </a:p>
      </xdr:txBody>
    </xdr:sp>
    <xdr:clientData/>
  </xdr:twoCellAnchor>
  <xdr:twoCellAnchor editAs="absolute">
    <xdr:from>
      <xdr:col>2</xdr:col>
      <xdr:colOff>9526</xdr:colOff>
      <xdr:row>0</xdr:row>
      <xdr:rowOff>0</xdr:rowOff>
    </xdr:from>
    <xdr:to>
      <xdr:col>2</xdr:col>
      <xdr:colOff>1269526</xdr:colOff>
      <xdr:row>1</xdr:row>
      <xdr:rowOff>9525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59C9E5EE-9C70-C0A3-6103-CDC874FDFB28}"/>
            </a:ext>
          </a:extLst>
        </xdr:cNvPr>
        <xdr:cNvSpPr/>
      </xdr:nvSpPr>
      <xdr:spPr>
        <a:xfrm>
          <a:off x="1990726" y="0"/>
          <a:ext cx="1260000" cy="4191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  <a:latin typeface="Arial Nova Cond" panose="020B0506020202020204" pitchFamily="34" charset="0"/>
            </a:rPr>
            <a:t>1º Período</a:t>
          </a:r>
        </a:p>
      </xdr:txBody>
    </xdr:sp>
    <xdr:clientData/>
  </xdr:twoCellAnchor>
  <xdr:twoCellAnchor editAs="absolute">
    <xdr:from>
      <xdr:col>2</xdr:col>
      <xdr:colOff>1268017</xdr:colOff>
      <xdr:row>0</xdr:row>
      <xdr:rowOff>0</xdr:rowOff>
    </xdr:from>
    <xdr:to>
      <xdr:col>3</xdr:col>
      <xdr:colOff>1108792</xdr:colOff>
      <xdr:row>1</xdr:row>
      <xdr:rowOff>9525</xdr:rowOff>
    </xdr:to>
    <xdr:sp macro="" textlink="">
      <xdr:nvSpPr>
        <xdr:cNvPr id="10" name="Retângulo 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2FF5274-D9E0-373C-86CA-A6FF1CD416D8}"/>
            </a:ext>
          </a:extLst>
        </xdr:cNvPr>
        <xdr:cNvSpPr/>
      </xdr:nvSpPr>
      <xdr:spPr>
        <a:xfrm>
          <a:off x="3249217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2º Período</a:t>
          </a:r>
        </a:p>
      </xdr:txBody>
    </xdr:sp>
    <xdr:clientData/>
  </xdr:twoCellAnchor>
  <xdr:twoCellAnchor editAs="absolute">
    <xdr:from>
      <xdr:col>3</xdr:col>
      <xdr:colOff>1107283</xdr:colOff>
      <xdr:row>0</xdr:row>
      <xdr:rowOff>0</xdr:rowOff>
    </xdr:from>
    <xdr:to>
      <xdr:col>4</xdr:col>
      <xdr:colOff>948058</xdr:colOff>
      <xdr:row>1</xdr:row>
      <xdr:rowOff>9525</xdr:rowOff>
    </xdr:to>
    <xdr:sp macro="" textlink="">
      <xdr:nvSpPr>
        <xdr:cNvPr id="11" name="Retângulo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8374B30-73B4-57DF-E407-D288040CBCA6}"/>
            </a:ext>
          </a:extLst>
        </xdr:cNvPr>
        <xdr:cNvSpPr/>
      </xdr:nvSpPr>
      <xdr:spPr>
        <a:xfrm>
          <a:off x="4507708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3º Período</a:t>
          </a:r>
        </a:p>
      </xdr:txBody>
    </xdr:sp>
    <xdr:clientData/>
  </xdr:twoCellAnchor>
  <xdr:twoCellAnchor editAs="absolute">
    <xdr:from>
      <xdr:col>4</xdr:col>
      <xdr:colOff>946549</xdr:colOff>
      <xdr:row>0</xdr:row>
      <xdr:rowOff>0</xdr:rowOff>
    </xdr:from>
    <xdr:to>
      <xdr:col>5</xdr:col>
      <xdr:colOff>787324</xdr:colOff>
      <xdr:row>1</xdr:row>
      <xdr:rowOff>9525</xdr:rowOff>
    </xdr:to>
    <xdr:sp macro="" textlink="">
      <xdr:nvSpPr>
        <xdr:cNvPr id="12" name="Retângulo 1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8F4279C0-CF14-CABE-15C8-BC9CA6FD288B}"/>
            </a:ext>
          </a:extLst>
        </xdr:cNvPr>
        <xdr:cNvSpPr/>
      </xdr:nvSpPr>
      <xdr:spPr>
        <a:xfrm>
          <a:off x="5766199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4º Período</a:t>
          </a:r>
        </a:p>
      </xdr:txBody>
    </xdr:sp>
    <xdr:clientData/>
  </xdr:twoCellAnchor>
  <xdr:twoCellAnchor editAs="absolute">
    <xdr:from>
      <xdr:col>5</xdr:col>
      <xdr:colOff>785815</xdr:colOff>
      <xdr:row>0</xdr:row>
      <xdr:rowOff>0</xdr:rowOff>
    </xdr:from>
    <xdr:to>
      <xdr:col>6</xdr:col>
      <xdr:colOff>626590</xdr:colOff>
      <xdr:row>1</xdr:row>
      <xdr:rowOff>9525</xdr:rowOff>
    </xdr:to>
    <xdr:sp macro="" textlink="">
      <xdr:nvSpPr>
        <xdr:cNvPr id="13" name="Retângulo 1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8CE3F3B0-D611-E976-B863-824DEAD37B04}"/>
            </a:ext>
          </a:extLst>
        </xdr:cNvPr>
        <xdr:cNvSpPr/>
      </xdr:nvSpPr>
      <xdr:spPr>
        <a:xfrm>
          <a:off x="7024690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5º Período</a:t>
          </a:r>
        </a:p>
      </xdr:txBody>
    </xdr:sp>
    <xdr:clientData/>
  </xdr:twoCellAnchor>
  <xdr:twoCellAnchor editAs="absolute">
    <xdr:from>
      <xdr:col>6</xdr:col>
      <xdr:colOff>625081</xdr:colOff>
      <xdr:row>0</xdr:row>
      <xdr:rowOff>0</xdr:rowOff>
    </xdr:from>
    <xdr:to>
      <xdr:col>7</xdr:col>
      <xdr:colOff>465856</xdr:colOff>
      <xdr:row>1</xdr:row>
      <xdr:rowOff>9525</xdr:rowOff>
    </xdr:to>
    <xdr:sp macro="" textlink="">
      <xdr:nvSpPr>
        <xdr:cNvPr id="14" name="Retângulo 1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34BC435D-6D6B-014B-506B-CBA73FE91137}"/>
            </a:ext>
          </a:extLst>
        </xdr:cNvPr>
        <xdr:cNvSpPr/>
      </xdr:nvSpPr>
      <xdr:spPr>
        <a:xfrm>
          <a:off x="8283181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6º Período</a:t>
          </a:r>
        </a:p>
      </xdr:txBody>
    </xdr:sp>
    <xdr:clientData/>
  </xdr:twoCellAnchor>
  <xdr:twoCellAnchor editAs="absolute">
    <xdr:from>
      <xdr:col>7</xdr:col>
      <xdr:colOff>464347</xdr:colOff>
      <xdr:row>0</xdr:row>
      <xdr:rowOff>0</xdr:rowOff>
    </xdr:from>
    <xdr:to>
      <xdr:col>8</xdr:col>
      <xdr:colOff>305122</xdr:colOff>
      <xdr:row>1</xdr:row>
      <xdr:rowOff>9525</xdr:rowOff>
    </xdr:to>
    <xdr:sp macro="" textlink="">
      <xdr:nvSpPr>
        <xdr:cNvPr id="15" name="Retângulo 1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5255D3C-BB41-62F0-A83E-7376524DFB64}"/>
            </a:ext>
          </a:extLst>
        </xdr:cNvPr>
        <xdr:cNvSpPr/>
      </xdr:nvSpPr>
      <xdr:spPr>
        <a:xfrm>
          <a:off x="9541672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7º Período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352425</xdr:rowOff>
    </xdr:from>
    <xdr:to>
      <xdr:col>2</xdr:col>
      <xdr:colOff>9524</xdr:colOff>
      <xdr:row>2</xdr:row>
      <xdr:rowOff>28575</xdr:rowOff>
    </xdr:to>
    <xdr:sp macro="[0]!import_csv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8A0175D-BAAB-4072-8FFD-3F926241FDF6}"/>
            </a:ext>
          </a:extLst>
        </xdr:cNvPr>
        <xdr:cNvSpPr/>
      </xdr:nvSpPr>
      <xdr:spPr>
        <a:xfrm>
          <a:off x="0" y="352425"/>
          <a:ext cx="1990724" cy="438150"/>
        </a:xfrm>
        <a:prstGeom prst="roundRect">
          <a:avLst>
            <a:gd name="adj" fmla="val 0"/>
          </a:avLst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tx1"/>
              </a:solidFill>
              <a:latin typeface="Arial Nova Cond" panose="020B0506020202020204" pitchFamily="34" charset="0"/>
            </a:rPr>
            <a:t>GERAR</a:t>
          </a:r>
          <a:r>
            <a:rPr lang="pt-BR" sz="1400" baseline="0">
              <a:solidFill>
                <a:schemeClr val="tx1"/>
              </a:solidFill>
              <a:latin typeface="Arial Nova Cond" panose="020B0506020202020204" pitchFamily="34" charset="0"/>
            </a:rPr>
            <a:t> TABELAS</a:t>
          </a:r>
          <a:endParaRPr lang="pt-BR" sz="1400">
            <a:solidFill>
              <a:schemeClr val="tx1"/>
            </a:solidFill>
            <a:latin typeface="Arial Nova Cond" panose="020B0506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5</xdr:row>
      <xdr:rowOff>314325</xdr:rowOff>
    </xdr:from>
    <xdr:to>
      <xdr:col>2</xdr:col>
      <xdr:colOff>9524</xdr:colOff>
      <xdr:row>7</xdr:row>
      <xdr:rowOff>47625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B474111-D867-437D-A6BB-B3E9D0454A34}"/>
            </a:ext>
          </a:extLst>
        </xdr:cNvPr>
        <xdr:cNvSpPr/>
      </xdr:nvSpPr>
      <xdr:spPr>
        <a:xfrm>
          <a:off x="0" y="2133600"/>
          <a:ext cx="1990724" cy="438150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tx1"/>
              </a:solidFill>
              <a:latin typeface="Arial Nova Cond" panose="020B0506020202020204" pitchFamily="34" charset="0"/>
            </a:rPr>
            <a:t>CCO</a:t>
          </a:r>
        </a:p>
      </xdr:txBody>
    </xdr:sp>
    <xdr:clientData/>
  </xdr:twoCellAnchor>
  <xdr:twoCellAnchor editAs="absolute">
    <xdr:from>
      <xdr:col>0</xdr:col>
      <xdr:colOff>0</xdr:colOff>
      <xdr:row>7</xdr:row>
      <xdr:rowOff>114300</xdr:rowOff>
    </xdr:from>
    <xdr:to>
      <xdr:col>2</xdr:col>
      <xdr:colOff>9524</xdr:colOff>
      <xdr:row>8</xdr:row>
      <xdr:rowOff>200025</xdr:rowOff>
    </xdr:to>
    <xdr:sp macro="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944BA99-FEDD-4318-A5E9-97B60B5069ED}"/>
            </a:ext>
          </a:extLst>
        </xdr:cNvPr>
        <xdr:cNvSpPr/>
      </xdr:nvSpPr>
      <xdr:spPr>
        <a:xfrm>
          <a:off x="0" y="2638425"/>
          <a:ext cx="1990724" cy="438150"/>
        </a:xfrm>
        <a:prstGeom prst="roundRect">
          <a:avLst>
            <a:gd name="adj" fmla="val 0"/>
          </a:avLst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>
                  <a:lumMod val="95000"/>
                </a:schemeClr>
              </a:solidFill>
              <a:latin typeface="Arial Nova Cond" panose="020B0506020202020204" pitchFamily="34" charset="0"/>
            </a:rPr>
            <a:t>SIN</a:t>
          </a:r>
        </a:p>
      </xdr:txBody>
    </xdr:sp>
    <xdr:clientData/>
  </xdr:twoCellAnchor>
  <xdr:twoCellAnchor editAs="absolute">
    <xdr:from>
      <xdr:col>0</xdr:col>
      <xdr:colOff>0</xdr:colOff>
      <xdr:row>8</xdr:row>
      <xdr:rowOff>266700</xdr:rowOff>
    </xdr:from>
    <xdr:to>
      <xdr:col>2</xdr:col>
      <xdr:colOff>9524</xdr:colOff>
      <xdr:row>10</xdr:row>
      <xdr:rowOff>238125</xdr:rowOff>
    </xdr:to>
    <xdr:sp macro="" textlink="">
      <xdr:nvSpPr>
        <xdr:cNvPr id="5" name="Retângulo: Cantos Arredondado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F2BDF20-9222-4BFB-9602-904DB9EEF9A6}"/>
            </a:ext>
          </a:extLst>
        </xdr:cNvPr>
        <xdr:cNvSpPr/>
      </xdr:nvSpPr>
      <xdr:spPr>
        <a:xfrm>
          <a:off x="0" y="3143250"/>
          <a:ext cx="1990724" cy="438150"/>
        </a:xfrm>
        <a:prstGeom prst="roundRect">
          <a:avLst>
            <a:gd name="adj" fmla="val 0"/>
          </a:avLst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>
                  <a:lumMod val="95000"/>
                </a:schemeClr>
              </a:solidFill>
              <a:latin typeface="Arial Nova Cond" panose="020B0506020202020204" pitchFamily="34" charset="0"/>
            </a:rPr>
            <a:t>Optativas</a:t>
          </a:r>
        </a:p>
      </xdr:txBody>
    </xdr:sp>
    <xdr:clientData/>
  </xdr:twoCellAnchor>
  <xdr:twoCellAnchor editAs="absolute">
    <xdr:from>
      <xdr:col>0</xdr:col>
      <xdr:colOff>0</xdr:colOff>
      <xdr:row>10</xdr:row>
      <xdr:rowOff>304800</xdr:rowOff>
    </xdr:from>
    <xdr:to>
      <xdr:col>2</xdr:col>
      <xdr:colOff>9524</xdr:colOff>
      <xdr:row>12</xdr:row>
      <xdr:rowOff>38100</xdr:rowOff>
    </xdr:to>
    <xdr:sp macro="" textlink="">
      <xdr:nvSpPr>
        <xdr:cNvPr id="6" name="Retângulo: Cantos Arredondado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1B797C7-E453-4F59-8A42-27E9DBDFA073}"/>
            </a:ext>
          </a:extLst>
        </xdr:cNvPr>
        <xdr:cNvSpPr/>
      </xdr:nvSpPr>
      <xdr:spPr>
        <a:xfrm>
          <a:off x="0" y="3648075"/>
          <a:ext cx="1990724" cy="438150"/>
        </a:xfrm>
        <a:prstGeom prst="roundRect">
          <a:avLst>
            <a:gd name="adj" fmla="val 0"/>
          </a:avLst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>
                  <a:lumMod val="95000"/>
                </a:schemeClr>
              </a:solidFill>
              <a:latin typeface="Arial Nova Cond" panose="020B0506020202020204" pitchFamily="34" charset="0"/>
            </a:rPr>
            <a:t>Poscomp</a:t>
          </a:r>
        </a:p>
      </xdr:txBody>
    </xdr:sp>
    <xdr:clientData/>
  </xdr:twoCellAnchor>
  <xdr:twoCellAnchor editAs="absolute">
    <xdr:from>
      <xdr:col>2</xdr:col>
      <xdr:colOff>9526</xdr:colOff>
      <xdr:row>0</xdr:row>
      <xdr:rowOff>0</xdr:rowOff>
    </xdr:from>
    <xdr:to>
      <xdr:col>2</xdr:col>
      <xdr:colOff>1269526</xdr:colOff>
      <xdr:row>1</xdr:row>
      <xdr:rowOff>9525</xdr:rowOff>
    </xdr:to>
    <xdr:sp macro="" textlink="">
      <xdr:nvSpPr>
        <xdr:cNvPr id="7" name="Retângul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D1BD8F8-387E-4B87-B55F-FCFF4DC6A424}"/>
            </a:ext>
          </a:extLst>
        </xdr:cNvPr>
        <xdr:cNvSpPr/>
      </xdr:nvSpPr>
      <xdr:spPr>
        <a:xfrm>
          <a:off x="1990726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  <a:latin typeface="Arial Nova Cond" panose="020B0506020202020204" pitchFamily="34" charset="0"/>
            </a:rPr>
            <a:t>1º Período</a:t>
          </a:r>
        </a:p>
      </xdr:txBody>
    </xdr:sp>
    <xdr:clientData/>
  </xdr:twoCellAnchor>
  <xdr:twoCellAnchor editAs="absolute">
    <xdr:from>
      <xdr:col>2</xdr:col>
      <xdr:colOff>1268017</xdr:colOff>
      <xdr:row>0</xdr:row>
      <xdr:rowOff>0</xdr:rowOff>
    </xdr:from>
    <xdr:to>
      <xdr:col>3</xdr:col>
      <xdr:colOff>1108792</xdr:colOff>
      <xdr:row>1</xdr:row>
      <xdr:rowOff>9525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E96915FD-C20A-494B-B52A-B8F40037AA60}"/>
            </a:ext>
          </a:extLst>
        </xdr:cNvPr>
        <xdr:cNvSpPr/>
      </xdr:nvSpPr>
      <xdr:spPr>
        <a:xfrm>
          <a:off x="3249217" y="0"/>
          <a:ext cx="1260000" cy="4191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  <a:latin typeface="Arial Nova Cond" panose="020B0506020202020204" pitchFamily="34" charset="0"/>
            </a:rPr>
            <a:t>2º Período</a:t>
          </a:r>
        </a:p>
      </xdr:txBody>
    </xdr:sp>
    <xdr:clientData/>
  </xdr:twoCellAnchor>
  <xdr:twoCellAnchor editAs="absolute">
    <xdr:from>
      <xdr:col>3</xdr:col>
      <xdr:colOff>1107283</xdr:colOff>
      <xdr:row>0</xdr:row>
      <xdr:rowOff>0</xdr:rowOff>
    </xdr:from>
    <xdr:to>
      <xdr:col>4</xdr:col>
      <xdr:colOff>948058</xdr:colOff>
      <xdr:row>1</xdr:row>
      <xdr:rowOff>9525</xdr:rowOff>
    </xdr:to>
    <xdr:sp macro="" textlink="">
      <xdr:nvSpPr>
        <xdr:cNvPr id="9" name="Retângulo 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B2720CA-0FB8-4879-99C0-62E989E5BD86}"/>
            </a:ext>
          </a:extLst>
        </xdr:cNvPr>
        <xdr:cNvSpPr/>
      </xdr:nvSpPr>
      <xdr:spPr>
        <a:xfrm>
          <a:off x="4507708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3º Período</a:t>
          </a:r>
        </a:p>
      </xdr:txBody>
    </xdr:sp>
    <xdr:clientData/>
  </xdr:twoCellAnchor>
  <xdr:twoCellAnchor editAs="absolute">
    <xdr:from>
      <xdr:col>4</xdr:col>
      <xdr:colOff>946549</xdr:colOff>
      <xdr:row>0</xdr:row>
      <xdr:rowOff>0</xdr:rowOff>
    </xdr:from>
    <xdr:to>
      <xdr:col>5</xdr:col>
      <xdr:colOff>787324</xdr:colOff>
      <xdr:row>1</xdr:row>
      <xdr:rowOff>9525</xdr:rowOff>
    </xdr:to>
    <xdr:sp macro="" textlink="">
      <xdr:nvSpPr>
        <xdr:cNvPr id="10" name="Retângulo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F80CF59C-D1CB-4724-936F-672C94595DB3}"/>
            </a:ext>
          </a:extLst>
        </xdr:cNvPr>
        <xdr:cNvSpPr/>
      </xdr:nvSpPr>
      <xdr:spPr>
        <a:xfrm>
          <a:off x="5766199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4º Período</a:t>
          </a:r>
        </a:p>
      </xdr:txBody>
    </xdr:sp>
    <xdr:clientData/>
  </xdr:twoCellAnchor>
  <xdr:twoCellAnchor editAs="absolute">
    <xdr:from>
      <xdr:col>5</xdr:col>
      <xdr:colOff>785815</xdr:colOff>
      <xdr:row>0</xdr:row>
      <xdr:rowOff>0</xdr:rowOff>
    </xdr:from>
    <xdr:to>
      <xdr:col>6</xdr:col>
      <xdr:colOff>626590</xdr:colOff>
      <xdr:row>1</xdr:row>
      <xdr:rowOff>9525</xdr:rowOff>
    </xdr:to>
    <xdr:sp macro="" textlink="">
      <xdr:nvSpPr>
        <xdr:cNvPr id="11" name="Retângul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A1CA732A-697C-4A9D-ADD3-58377444A273}"/>
            </a:ext>
          </a:extLst>
        </xdr:cNvPr>
        <xdr:cNvSpPr/>
      </xdr:nvSpPr>
      <xdr:spPr>
        <a:xfrm>
          <a:off x="7024690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5º Período</a:t>
          </a:r>
        </a:p>
      </xdr:txBody>
    </xdr:sp>
    <xdr:clientData/>
  </xdr:twoCellAnchor>
  <xdr:twoCellAnchor editAs="absolute">
    <xdr:from>
      <xdr:col>6</xdr:col>
      <xdr:colOff>625081</xdr:colOff>
      <xdr:row>0</xdr:row>
      <xdr:rowOff>0</xdr:rowOff>
    </xdr:from>
    <xdr:to>
      <xdr:col>7</xdr:col>
      <xdr:colOff>465856</xdr:colOff>
      <xdr:row>1</xdr:row>
      <xdr:rowOff>9525</xdr:rowOff>
    </xdr:to>
    <xdr:sp macro="" textlink="">
      <xdr:nvSpPr>
        <xdr:cNvPr id="12" name="Retângulo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CE84CCDD-B86F-4747-85B4-81CDDEB6D611}"/>
            </a:ext>
          </a:extLst>
        </xdr:cNvPr>
        <xdr:cNvSpPr/>
      </xdr:nvSpPr>
      <xdr:spPr>
        <a:xfrm>
          <a:off x="8283181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6º Período</a:t>
          </a:r>
        </a:p>
      </xdr:txBody>
    </xdr:sp>
    <xdr:clientData/>
  </xdr:twoCellAnchor>
  <xdr:twoCellAnchor editAs="absolute">
    <xdr:from>
      <xdr:col>7</xdr:col>
      <xdr:colOff>464347</xdr:colOff>
      <xdr:row>0</xdr:row>
      <xdr:rowOff>0</xdr:rowOff>
    </xdr:from>
    <xdr:to>
      <xdr:col>8</xdr:col>
      <xdr:colOff>305122</xdr:colOff>
      <xdr:row>1</xdr:row>
      <xdr:rowOff>9525</xdr:rowOff>
    </xdr:to>
    <xdr:sp macro="" textlink="">
      <xdr:nvSpPr>
        <xdr:cNvPr id="13" name="Retângulo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955B2584-A5DF-4659-9664-E99EE4155D9D}"/>
            </a:ext>
          </a:extLst>
        </xdr:cNvPr>
        <xdr:cNvSpPr/>
      </xdr:nvSpPr>
      <xdr:spPr>
        <a:xfrm>
          <a:off x="9541672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7º Período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352425</xdr:rowOff>
    </xdr:from>
    <xdr:to>
      <xdr:col>2</xdr:col>
      <xdr:colOff>9524</xdr:colOff>
      <xdr:row>2</xdr:row>
      <xdr:rowOff>28575</xdr:rowOff>
    </xdr:to>
    <xdr:sp macro="[0]!import_csv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A8901A6-8A63-468E-A2CC-B1156490B5BC}"/>
            </a:ext>
          </a:extLst>
        </xdr:cNvPr>
        <xdr:cNvSpPr/>
      </xdr:nvSpPr>
      <xdr:spPr>
        <a:xfrm>
          <a:off x="0" y="352425"/>
          <a:ext cx="1990724" cy="438150"/>
        </a:xfrm>
        <a:prstGeom prst="roundRect">
          <a:avLst>
            <a:gd name="adj" fmla="val 0"/>
          </a:avLst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tx1"/>
              </a:solidFill>
              <a:latin typeface="Arial Nova Cond" panose="020B0506020202020204" pitchFamily="34" charset="0"/>
            </a:rPr>
            <a:t>GERAR</a:t>
          </a:r>
          <a:r>
            <a:rPr lang="pt-BR" sz="1400" baseline="0">
              <a:solidFill>
                <a:schemeClr val="tx1"/>
              </a:solidFill>
              <a:latin typeface="Arial Nova Cond" panose="020B0506020202020204" pitchFamily="34" charset="0"/>
            </a:rPr>
            <a:t> TABELAS</a:t>
          </a:r>
          <a:endParaRPr lang="pt-BR" sz="1400">
            <a:solidFill>
              <a:schemeClr val="tx1"/>
            </a:solidFill>
            <a:latin typeface="Arial Nova Cond" panose="020B0506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5</xdr:row>
      <xdr:rowOff>314325</xdr:rowOff>
    </xdr:from>
    <xdr:to>
      <xdr:col>2</xdr:col>
      <xdr:colOff>9524</xdr:colOff>
      <xdr:row>7</xdr:row>
      <xdr:rowOff>47625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8B6BBE71-B6FD-42EB-AD11-178BC59DA7C8}"/>
            </a:ext>
          </a:extLst>
        </xdr:cNvPr>
        <xdr:cNvSpPr/>
      </xdr:nvSpPr>
      <xdr:spPr>
        <a:xfrm>
          <a:off x="0" y="2133600"/>
          <a:ext cx="1990724" cy="438150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tx1"/>
              </a:solidFill>
              <a:latin typeface="Arial Nova Cond" panose="020B0506020202020204" pitchFamily="34" charset="0"/>
            </a:rPr>
            <a:t>CCO</a:t>
          </a:r>
        </a:p>
      </xdr:txBody>
    </xdr:sp>
    <xdr:clientData/>
  </xdr:twoCellAnchor>
  <xdr:twoCellAnchor editAs="absolute">
    <xdr:from>
      <xdr:col>0</xdr:col>
      <xdr:colOff>0</xdr:colOff>
      <xdr:row>7</xdr:row>
      <xdr:rowOff>114300</xdr:rowOff>
    </xdr:from>
    <xdr:to>
      <xdr:col>2</xdr:col>
      <xdr:colOff>9524</xdr:colOff>
      <xdr:row>8</xdr:row>
      <xdr:rowOff>200025</xdr:rowOff>
    </xdr:to>
    <xdr:sp macro="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2F1BBD-455F-40E2-AB7B-06B2D49DA124}"/>
            </a:ext>
          </a:extLst>
        </xdr:cNvPr>
        <xdr:cNvSpPr/>
      </xdr:nvSpPr>
      <xdr:spPr>
        <a:xfrm>
          <a:off x="0" y="2638425"/>
          <a:ext cx="1990724" cy="438150"/>
        </a:xfrm>
        <a:prstGeom prst="roundRect">
          <a:avLst>
            <a:gd name="adj" fmla="val 0"/>
          </a:avLst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>
                  <a:lumMod val="95000"/>
                </a:schemeClr>
              </a:solidFill>
              <a:latin typeface="Arial Nova Cond" panose="020B0506020202020204" pitchFamily="34" charset="0"/>
            </a:rPr>
            <a:t>SIN</a:t>
          </a:r>
        </a:p>
      </xdr:txBody>
    </xdr:sp>
    <xdr:clientData/>
  </xdr:twoCellAnchor>
  <xdr:twoCellAnchor editAs="absolute">
    <xdr:from>
      <xdr:col>0</xdr:col>
      <xdr:colOff>0</xdr:colOff>
      <xdr:row>8</xdr:row>
      <xdr:rowOff>266700</xdr:rowOff>
    </xdr:from>
    <xdr:to>
      <xdr:col>2</xdr:col>
      <xdr:colOff>9524</xdr:colOff>
      <xdr:row>10</xdr:row>
      <xdr:rowOff>238125</xdr:rowOff>
    </xdr:to>
    <xdr:sp macro="" textlink="">
      <xdr:nvSpPr>
        <xdr:cNvPr id="5" name="Retângulo: Cantos Arredondado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246A17C-0D79-41EC-BF46-B39F0041E9E2}"/>
            </a:ext>
          </a:extLst>
        </xdr:cNvPr>
        <xdr:cNvSpPr/>
      </xdr:nvSpPr>
      <xdr:spPr>
        <a:xfrm>
          <a:off x="0" y="3143250"/>
          <a:ext cx="1990724" cy="438150"/>
        </a:xfrm>
        <a:prstGeom prst="roundRect">
          <a:avLst>
            <a:gd name="adj" fmla="val 0"/>
          </a:avLst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>
                  <a:lumMod val="95000"/>
                </a:schemeClr>
              </a:solidFill>
              <a:latin typeface="Arial Nova Cond" panose="020B0506020202020204" pitchFamily="34" charset="0"/>
            </a:rPr>
            <a:t>Optativas</a:t>
          </a:r>
        </a:p>
      </xdr:txBody>
    </xdr:sp>
    <xdr:clientData/>
  </xdr:twoCellAnchor>
  <xdr:twoCellAnchor editAs="absolute">
    <xdr:from>
      <xdr:col>0</xdr:col>
      <xdr:colOff>0</xdr:colOff>
      <xdr:row>10</xdr:row>
      <xdr:rowOff>304800</xdr:rowOff>
    </xdr:from>
    <xdr:to>
      <xdr:col>2</xdr:col>
      <xdr:colOff>9524</xdr:colOff>
      <xdr:row>12</xdr:row>
      <xdr:rowOff>38100</xdr:rowOff>
    </xdr:to>
    <xdr:sp macro="" textlink="">
      <xdr:nvSpPr>
        <xdr:cNvPr id="6" name="Retângulo: Cantos Arredondado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5A04590-0938-451F-872C-A1CE786C25DE}"/>
            </a:ext>
          </a:extLst>
        </xdr:cNvPr>
        <xdr:cNvSpPr/>
      </xdr:nvSpPr>
      <xdr:spPr>
        <a:xfrm>
          <a:off x="0" y="3648075"/>
          <a:ext cx="1990724" cy="438150"/>
        </a:xfrm>
        <a:prstGeom prst="roundRect">
          <a:avLst>
            <a:gd name="adj" fmla="val 0"/>
          </a:avLst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>
                  <a:lumMod val="95000"/>
                </a:schemeClr>
              </a:solidFill>
              <a:latin typeface="Arial Nova Cond" panose="020B0506020202020204" pitchFamily="34" charset="0"/>
            </a:rPr>
            <a:t>Poscomp</a:t>
          </a:r>
        </a:p>
      </xdr:txBody>
    </xdr:sp>
    <xdr:clientData/>
  </xdr:twoCellAnchor>
  <xdr:twoCellAnchor editAs="absolute">
    <xdr:from>
      <xdr:col>2</xdr:col>
      <xdr:colOff>9526</xdr:colOff>
      <xdr:row>0</xdr:row>
      <xdr:rowOff>0</xdr:rowOff>
    </xdr:from>
    <xdr:to>
      <xdr:col>2</xdr:col>
      <xdr:colOff>1269526</xdr:colOff>
      <xdr:row>1</xdr:row>
      <xdr:rowOff>9525</xdr:rowOff>
    </xdr:to>
    <xdr:sp macro="" textlink="">
      <xdr:nvSpPr>
        <xdr:cNvPr id="7" name="Retângul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66BCBBD-2729-4AD3-AE4E-DF67E790B626}"/>
            </a:ext>
          </a:extLst>
        </xdr:cNvPr>
        <xdr:cNvSpPr/>
      </xdr:nvSpPr>
      <xdr:spPr>
        <a:xfrm>
          <a:off x="1990726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  <a:latin typeface="Arial Nova Cond" panose="020B0506020202020204" pitchFamily="34" charset="0"/>
            </a:rPr>
            <a:t>1º Período</a:t>
          </a:r>
        </a:p>
      </xdr:txBody>
    </xdr:sp>
    <xdr:clientData/>
  </xdr:twoCellAnchor>
  <xdr:twoCellAnchor editAs="absolute">
    <xdr:from>
      <xdr:col>2</xdr:col>
      <xdr:colOff>1268017</xdr:colOff>
      <xdr:row>0</xdr:row>
      <xdr:rowOff>0</xdr:rowOff>
    </xdr:from>
    <xdr:to>
      <xdr:col>3</xdr:col>
      <xdr:colOff>1108792</xdr:colOff>
      <xdr:row>1</xdr:row>
      <xdr:rowOff>9525</xdr:rowOff>
    </xdr:to>
    <xdr:sp macro="" textlink="">
      <xdr:nvSpPr>
        <xdr:cNvPr id="8" name="Retângulo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B97F005-EC0B-4495-8631-0B88ED37E65C}"/>
            </a:ext>
          </a:extLst>
        </xdr:cNvPr>
        <xdr:cNvSpPr/>
      </xdr:nvSpPr>
      <xdr:spPr>
        <a:xfrm>
          <a:off x="3249217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2º Período</a:t>
          </a:r>
        </a:p>
      </xdr:txBody>
    </xdr:sp>
    <xdr:clientData/>
  </xdr:twoCellAnchor>
  <xdr:twoCellAnchor editAs="absolute">
    <xdr:from>
      <xdr:col>3</xdr:col>
      <xdr:colOff>1107283</xdr:colOff>
      <xdr:row>0</xdr:row>
      <xdr:rowOff>0</xdr:rowOff>
    </xdr:from>
    <xdr:to>
      <xdr:col>4</xdr:col>
      <xdr:colOff>948058</xdr:colOff>
      <xdr:row>1</xdr:row>
      <xdr:rowOff>9525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CBA00CEB-DBFC-4B96-BB6A-16ED900A74DF}"/>
            </a:ext>
          </a:extLst>
        </xdr:cNvPr>
        <xdr:cNvSpPr/>
      </xdr:nvSpPr>
      <xdr:spPr>
        <a:xfrm>
          <a:off x="4507708" y="0"/>
          <a:ext cx="1260000" cy="4191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  <a:latin typeface="Arial Nova Cond" panose="020B0506020202020204" pitchFamily="34" charset="0"/>
            </a:rPr>
            <a:t>3º Período</a:t>
          </a:r>
        </a:p>
      </xdr:txBody>
    </xdr:sp>
    <xdr:clientData/>
  </xdr:twoCellAnchor>
  <xdr:twoCellAnchor editAs="absolute">
    <xdr:from>
      <xdr:col>4</xdr:col>
      <xdr:colOff>946549</xdr:colOff>
      <xdr:row>0</xdr:row>
      <xdr:rowOff>0</xdr:rowOff>
    </xdr:from>
    <xdr:to>
      <xdr:col>5</xdr:col>
      <xdr:colOff>787324</xdr:colOff>
      <xdr:row>1</xdr:row>
      <xdr:rowOff>9525</xdr:rowOff>
    </xdr:to>
    <xdr:sp macro="" textlink="">
      <xdr:nvSpPr>
        <xdr:cNvPr id="10" name="Retângulo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E957F1F-7D7A-4DF2-899B-F5BFF975811A}"/>
            </a:ext>
          </a:extLst>
        </xdr:cNvPr>
        <xdr:cNvSpPr/>
      </xdr:nvSpPr>
      <xdr:spPr>
        <a:xfrm>
          <a:off x="5766199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4º Período</a:t>
          </a:r>
        </a:p>
      </xdr:txBody>
    </xdr:sp>
    <xdr:clientData/>
  </xdr:twoCellAnchor>
  <xdr:twoCellAnchor editAs="absolute">
    <xdr:from>
      <xdr:col>5</xdr:col>
      <xdr:colOff>785815</xdr:colOff>
      <xdr:row>0</xdr:row>
      <xdr:rowOff>0</xdr:rowOff>
    </xdr:from>
    <xdr:to>
      <xdr:col>6</xdr:col>
      <xdr:colOff>626590</xdr:colOff>
      <xdr:row>1</xdr:row>
      <xdr:rowOff>9525</xdr:rowOff>
    </xdr:to>
    <xdr:sp macro="" textlink="">
      <xdr:nvSpPr>
        <xdr:cNvPr id="11" name="Retângul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6423FF1E-FD20-4D9C-BF7F-14C2CE13F612}"/>
            </a:ext>
          </a:extLst>
        </xdr:cNvPr>
        <xdr:cNvSpPr/>
      </xdr:nvSpPr>
      <xdr:spPr>
        <a:xfrm>
          <a:off x="7024690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5º Período</a:t>
          </a:r>
        </a:p>
      </xdr:txBody>
    </xdr:sp>
    <xdr:clientData/>
  </xdr:twoCellAnchor>
  <xdr:twoCellAnchor editAs="absolute">
    <xdr:from>
      <xdr:col>6</xdr:col>
      <xdr:colOff>625081</xdr:colOff>
      <xdr:row>0</xdr:row>
      <xdr:rowOff>0</xdr:rowOff>
    </xdr:from>
    <xdr:to>
      <xdr:col>7</xdr:col>
      <xdr:colOff>465856</xdr:colOff>
      <xdr:row>1</xdr:row>
      <xdr:rowOff>9525</xdr:rowOff>
    </xdr:to>
    <xdr:sp macro="" textlink="">
      <xdr:nvSpPr>
        <xdr:cNvPr id="12" name="Retângulo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A3E29D7C-83CE-4F93-BA8E-E450FA97DAC5}"/>
            </a:ext>
          </a:extLst>
        </xdr:cNvPr>
        <xdr:cNvSpPr/>
      </xdr:nvSpPr>
      <xdr:spPr>
        <a:xfrm>
          <a:off x="8283181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6º Período</a:t>
          </a:r>
        </a:p>
      </xdr:txBody>
    </xdr:sp>
    <xdr:clientData/>
  </xdr:twoCellAnchor>
  <xdr:twoCellAnchor editAs="absolute">
    <xdr:from>
      <xdr:col>7</xdr:col>
      <xdr:colOff>464347</xdr:colOff>
      <xdr:row>0</xdr:row>
      <xdr:rowOff>0</xdr:rowOff>
    </xdr:from>
    <xdr:to>
      <xdr:col>8</xdr:col>
      <xdr:colOff>305122</xdr:colOff>
      <xdr:row>1</xdr:row>
      <xdr:rowOff>9525</xdr:rowOff>
    </xdr:to>
    <xdr:sp macro="" textlink="">
      <xdr:nvSpPr>
        <xdr:cNvPr id="13" name="Retângulo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C164CD47-84EA-4C8C-845C-155F93E0A36F}"/>
            </a:ext>
          </a:extLst>
        </xdr:cNvPr>
        <xdr:cNvSpPr/>
      </xdr:nvSpPr>
      <xdr:spPr>
        <a:xfrm>
          <a:off x="9541672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7º Período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352425</xdr:rowOff>
    </xdr:from>
    <xdr:to>
      <xdr:col>2</xdr:col>
      <xdr:colOff>9524</xdr:colOff>
      <xdr:row>2</xdr:row>
      <xdr:rowOff>28575</xdr:rowOff>
    </xdr:to>
    <xdr:sp macro="[0]!import_csv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FF8DBEE-631E-4354-9C32-D896AC51A794}"/>
            </a:ext>
          </a:extLst>
        </xdr:cNvPr>
        <xdr:cNvSpPr/>
      </xdr:nvSpPr>
      <xdr:spPr>
        <a:xfrm>
          <a:off x="0" y="352425"/>
          <a:ext cx="1990724" cy="438150"/>
        </a:xfrm>
        <a:prstGeom prst="roundRect">
          <a:avLst>
            <a:gd name="adj" fmla="val 0"/>
          </a:avLst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tx1"/>
              </a:solidFill>
              <a:latin typeface="Arial Nova Cond" panose="020B0506020202020204" pitchFamily="34" charset="0"/>
            </a:rPr>
            <a:t>GERAR</a:t>
          </a:r>
          <a:r>
            <a:rPr lang="pt-BR" sz="1400" baseline="0">
              <a:solidFill>
                <a:schemeClr val="tx1"/>
              </a:solidFill>
              <a:latin typeface="Arial Nova Cond" panose="020B0506020202020204" pitchFamily="34" charset="0"/>
            </a:rPr>
            <a:t> TABELAS</a:t>
          </a:r>
          <a:endParaRPr lang="pt-BR" sz="1400">
            <a:solidFill>
              <a:schemeClr val="tx1"/>
            </a:solidFill>
            <a:latin typeface="Arial Nova Cond" panose="020B0506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5</xdr:row>
      <xdr:rowOff>314325</xdr:rowOff>
    </xdr:from>
    <xdr:to>
      <xdr:col>2</xdr:col>
      <xdr:colOff>9524</xdr:colOff>
      <xdr:row>7</xdr:row>
      <xdr:rowOff>47625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70B247E9-039E-4F0B-BF8F-19BED9BF3309}"/>
            </a:ext>
          </a:extLst>
        </xdr:cNvPr>
        <xdr:cNvSpPr/>
      </xdr:nvSpPr>
      <xdr:spPr>
        <a:xfrm>
          <a:off x="0" y="2133600"/>
          <a:ext cx="1990724" cy="438150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tx1"/>
              </a:solidFill>
              <a:latin typeface="Arial Nova Cond" panose="020B0506020202020204" pitchFamily="34" charset="0"/>
            </a:rPr>
            <a:t>CCO</a:t>
          </a:r>
        </a:p>
      </xdr:txBody>
    </xdr:sp>
    <xdr:clientData/>
  </xdr:twoCellAnchor>
  <xdr:twoCellAnchor editAs="absolute">
    <xdr:from>
      <xdr:col>0</xdr:col>
      <xdr:colOff>0</xdr:colOff>
      <xdr:row>7</xdr:row>
      <xdr:rowOff>114300</xdr:rowOff>
    </xdr:from>
    <xdr:to>
      <xdr:col>2</xdr:col>
      <xdr:colOff>9524</xdr:colOff>
      <xdr:row>8</xdr:row>
      <xdr:rowOff>200025</xdr:rowOff>
    </xdr:to>
    <xdr:sp macro="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D643AA1-425D-44D4-B964-D6E5E23E8E77}"/>
            </a:ext>
          </a:extLst>
        </xdr:cNvPr>
        <xdr:cNvSpPr/>
      </xdr:nvSpPr>
      <xdr:spPr>
        <a:xfrm>
          <a:off x="0" y="2638425"/>
          <a:ext cx="1990724" cy="438150"/>
        </a:xfrm>
        <a:prstGeom prst="roundRect">
          <a:avLst>
            <a:gd name="adj" fmla="val 0"/>
          </a:avLst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>
                  <a:lumMod val="95000"/>
                </a:schemeClr>
              </a:solidFill>
              <a:latin typeface="Arial Nova Cond" panose="020B0506020202020204" pitchFamily="34" charset="0"/>
            </a:rPr>
            <a:t>SIN</a:t>
          </a:r>
        </a:p>
      </xdr:txBody>
    </xdr:sp>
    <xdr:clientData/>
  </xdr:twoCellAnchor>
  <xdr:twoCellAnchor editAs="absolute">
    <xdr:from>
      <xdr:col>0</xdr:col>
      <xdr:colOff>0</xdr:colOff>
      <xdr:row>8</xdr:row>
      <xdr:rowOff>266700</xdr:rowOff>
    </xdr:from>
    <xdr:to>
      <xdr:col>2</xdr:col>
      <xdr:colOff>9524</xdr:colOff>
      <xdr:row>10</xdr:row>
      <xdr:rowOff>238125</xdr:rowOff>
    </xdr:to>
    <xdr:sp macro="" textlink="">
      <xdr:nvSpPr>
        <xdr:cNvPr id="5" name="Retângulo: Cantos Arredondado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8201C11-1539-4732-BF69-06332DFE07D4}"/>
            </a:ext>
          </a:extLst>
        </xdr:cNvPr>
        <xdr:cNvSpPr/>
      </xdr:nvSpPr>
      <xdr:spPr>
        <a:xfrm>
          <a:off x="0" y="3143250"/>
          <a:ext cx="1990724" cy="438150"/>
        </a:xfrm>
        <a:prstGeom prst="roundRect">
          <a:avLst>
            <a:gd name="adj" fmla="val 0"/>
          </a:avLst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>
                  <a:lumMod val="95000"/>
                </a:schemeClr>
              </a:solidFill>
              <a:latin typeface="Arial Nova Cond" panose="020B0506020202020204" pitchFamily="34" charset="0"/>
            </a:rPr>
            <a:t>Optativas</a:t>
          </a:r>
        </a:p>
      </xdr:txBody>
    </xdr:sp>
    <xdr:clientData/>
  </xdr:twoCellAnchor>
  <xdr:twoCellAnchor editAs="absolute">
    <xdr:from>
      <xdr:col>0</xdr:col>
      <xdr:colOff>0</xdr:colOff>
      <xdr:row>10</xdr:row>
      <xdr:rowOff>304800</xdr:rowOff>
    </xdr:from>
    <xdr:to>
      <xdr:col>2</xdr:col>
      <xdr:colOff>9524</xdr:colOff>
      <xdr:row>12</xdr:row>
      <xdr:rowOff>38100</xdr:rowOff>
    </xdr:to>
    <xdr:sp macro="" textlink="">
      <xdr:nvSpPr>
        <xdr:cNvPr id="6" name="Retângulo: Cantos Arredondado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8E861CE-6DA8-4125-8BA9-815E64A0E823}"/>
            </a:ext>
          </a:extLst>
        </xdr:cNvPr>
        <xdr:cNvSpPr/>
      </xdr:nvSpPr>
      <xdr:spPr>
        <a:xfrm>
          <a:off x="0" y="3648075"/>
          <a:ext cx="1990724" cy="438150"/>
        </a:xfrm>
        <a:prstGeom prst="roundRect">
          <a:avLst>
            <a:gd name="adj" fmla="val 0"/>
          </a:avLst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>
                  <a:lumMod val="95000"/>
                </a:schemeClr>
              </a:solidFill>
              <a:latin typeface="Arial Nova Cond" panose="020B0506020202020204" pitchFamily="34" charset="0"/>
            </a:rPr>
            <a:t>Poscomp</a:t>
          </a:r>
        </a:p>
      </xdr:txBody>
    </xdr:sp>
    <xdr:clientData/>
  </xdr:twoCellAnchor>
  <xdr:twoCellAnchor editAs="absolute">
    <xdr:from>
      <xdr:col>2</xdr:col>
      <xdr:colOff>9526</xdr:colOff>
      <xdr:row>0</xdr:row>
      <xdr:rowOff>0</xdr:rowOff>
    </xdr:from>
    <xdr:to>
      <xdr:col>2</xdr:col>
      <xdr:colOff>1269526</xdr:colOff>
      <xdr:row>1</xdr:row>
      <xdr:rowOff>9525</xdr:rowOff>
    </xdr:to>
    <xdr:sp macro="" textlink="">
      <xdr:nvSpPr>
        <xdr:cNvPr id="7" name="Retângul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F3D1CD9-05E8-42E1-8B49-E10C8CC7A1BC}"/>
            </a:ext>
          </a:extLst>
        </xdr:cNvPr>
        <xdr:cNvSpPr/>
      </xdr:nvSpPr>
      <xdr:spPr>
        <a:xfrm>
          <a:off x="1990726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  <a:latin typeface="Arial Nova Cond" panose="020B0506020202020204" pitchFamily="34" charset="0"/>
            </a:rPr>
            <a:t>1º Período</a:t>
          </a:r>
        </a:p>
      </xdr:txBody>
    </xdr:sp>
    <xdr:clientData/>
  </xdr:twoCellAnchor>
  <xdr:twoCellAnchor editAs="absolute">
    <xdr:from>
      <xdr:col>2</xdr:col>
      <xdr:colOff>1268017</xdr:colOff>
      <xdr:row>0</xdr:row>
      <xdr:rowOff>0</xdr:rowOff>
    </xdr:from>
    <xdr:to>
      <xdr:col>3</xdr:col>
      <xdr:colOff>1108792</xdr:colOff>
      <xdr:row>1</xdr:row>
      <xdr:rowOff>9525</xdr:rowOff>
    </xdr:to>
    <xdr:sp macro="" textlink="">
      <xdr:nvSpPr>
        <xdr:cNvPr id="8" name="Retângulo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9113F51-3B72-4687-880E-2013418159BE}"/>
            </a:ext>
          </a:extLst>
        </xdr:cNvPr>
        <xdr:cNvSpPr/>
      </xdr:nvSpPr>
      <xdr:spPr>
        <a:xfrm>
          <a:off x="3249217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2º Período</a:t>
          </a:r>
        </a:p>
      </xdr:txBody>
    </xdr:sp>
    <xdr:clientData/>
  </xdr:twoCellAnchor>
  <xdr:twoCellAnchor editAs="absolute">
    <xdr:from>
      <xdr:col>3</xdr:col>
      <xdr:colOff>1107283</xdr:colOff>
      <xdr:row>0</xdr:row>
      <xdr:rowOff>0</xdr:rowOff>
    </xdr:from>
    <xdr:to>
      <xdr:col>4</xdr:col>
      <xdr:colOff>948058</xdr:colOff>
      <xdr:row>1</xdr:row>
      <xdr:rowOff>9525</xdr:rowOff>
    </xdr:to>
    <xdr:sp macro="" textlink="">
      <xdr:nvSpPr>
        <xdr:cNvPr id="9" name="Retângulo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F446DC6-256F-4CCD-9D52-2B7F6DE03709}"/>
            </a:ext>
          </a:extLst>
        </xdr:cNvPr>
        <xdr:cNvSpPr/>
      </xdr:nvSpPr>
      <xdr:spPr>
        <a:xfrm>
          <a:off x="4507708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3º Período</a:t>
          </a:r>
        </a:p>
      </xdr:txBody>
    </xdr:sp>
    <xdr:clientData/>
  </xdr:twoCellAnchor>
  <xdr:twoCellAnchor editAs="absolute">
    <xdr:from>
      <xdr:col>4</xdr:col>
      <xdr:colOff>946549</xdr:colOff>
      <xdr:row>0</xdr:row>
      <xdr:rowOff>0</xdr:rowOff>
    </xdr:from>
    <xdr:to>
      <xdr:col>5</xdr:col>
      <xdr:colOff>787324</xdr:colOff>
      <xdr:row>1</xdr:row>
      <xdr:rowOff>9525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A1994202-2319-4C81-B82E-D67D69B67DB0}"/>
            </a:ext>
          </a:extLst>
        </xdr:cNvPr>
        <xdr:cNvSpPr/>
      </xdr:nvSpPr>
      <xdr:spPr>
        <a:xfrm>
          <a:off x="5766199" y="0"/>
          <a:ext cx="1260000" cy="4191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  <a:latin typeface="Arial Nova Cond" panose="020B0506020202020204" pitchFamily="34" charset="0"/>
            </a:rPr>
            <a:t>4º Período</a:t>
          </a:r>
        </a:p>
      </xdr:txBody>
    </xdr:sp>
    <xdr:clientData/>
  </xdr:twoCellAnchor>
  <xdr:twoCellAnchor editAs="absolute">
    <xdr:from>
      <xdr:col>5</xdr:col>
      <xdr:colOff>785815</xdr:colOff>
      <xdr:row>0</xdr:row>
      <xdr:rowOff>0</xdr:rowOff>
    </xdr:from>
    <xdr:to>
      <xdr:col>6</xdr:col>
      <xdr:colOff>626590</xdr:colOff>
      <xdr:row>1</xdr:row>
      <xdr:rowOff>9525</xdr:rowOff>
    </xdr:to>
    <xdr:sp macro="" textlink="">
      <xdr:nvSpPr>
        <xdr:cNvPr id="11" name="Retângul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8AE6E3D6-BCE5-492E-87A7-AE49BC835760}"/>
            </a:ext>
          </a:extLst>
        </xdr:cNvPr>
        <xdr:cNvSpPr/>
      </xdr:nvSpPr>
      <xdr:spPr>
        <a:xfrm>
          <a:off x="7024690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5º Período</a:t>
          </a:r>
        </a:p>
      </xdr:txBody>
    </xdr:sp>
    <xdr:clientData/>
  </xdr:twoCellAnchor>
  <xdr:twoCellAnchor editAs="absolute">
    <xdr:from>
      <xdr:col>6</xdr:col>
      <xdr:colOff>625081</xdr:colOff>
      <xdr:row>0</xdr:row>
      <xdr:rowOff>0</xdr:rowOff>
    </xdr:from>
    <xdr:to>
      <xdr:col>7</xdr:col>
      <xdr:colOff>465856</xdr:colOff>
      <xdr:row>1</xdr:row>
      <xdr:rowOff>9525</xdr:rowOff>
    </xdr:to>
    <xdr:sp macro="" textlink="">
      <xdr:nvSpPr>
        <xdr:cNvPr id="12" name="Retângulo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B8799CE-F146-47C0-BBAB-8AFDB465CCC5}"/>
            </a:ext>
          </a:extLst>
        </xdr:cNvPr>
        <xdr:cNvSpPr/>
      </xdr:nvSpPr>
      <xdr:spPr>
        <a:xfrm>
          <a:off x="8283181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6º Período</a:t>
          </a:r>
        </a:p>
      </xdr:txBody>
    </xdr:sp>
    <xdr:clientData/>
  </xdr:twoCellAnchor>
  <xdr:twoCellAnchor editAs="absolute">
    <xdr:from>
      <xdr:col>7</xdr:col>
      <xdr:colOff>464347</xdr:colOff>
      <xdr:row>0</xdr:row>
      <xdr:rowOff>0</xdr:rowOff>
    </xdr:from>
    <xdr:to>
      <xdr:col>8</xdr:col>
      <xdr:colOff>305122</xdr:colOff>
      <xdr:row>1</xdr:row>
      <xdr:rowOff>9525</xdr:rowOff>
    </xdr:to>
    <xdr:sp macro="" textlink="">
      <xdr:nvSpPr>
        <xdr:cNvPr id="13" name="Retângulo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86F62D5-E3D1-42CF-86D6-1C2F52F25727}"/>
            </a:ext>
          </a:extLst>
        </xdr:cNvPr>
        <xdr:cNvSpPr/>
      </xdr:nvSpPr>
      <xdr:spPr>
        <a:xfrm>
          <a:off x="9541672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7º Período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352425</xdr:rowOff>
    </xdr:from>
    <xdr:to>
      <xdr:col>2</xdr:col>
      <xdr:colOff>9524</xdr:colOff>
      <xdr:row>2</xdr:row>
      <xdr:rowOff>28575</xdr:rowOff>
    </xdr:to>
    <xdr:sp macro="[0]!import_csv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33B43D1-B545-47E7-B107-3300F9491709}"/>
            </a:ext>
          </a:extLst>
        </xdr:cNvPr>
        <xdr:cNvSpPr/>
      </xdr:nvSpPr>
      <xdr:spPr>
        <a:xfrm>
          <a:off x="0" y="352425"/>
          <a:ext cx="1990724" cy="438150"/>
        </a:xfrm>
        <a:prstGeom prst="roundRect">
          <a:avLst>
            <a:gd name="adj" fmla="val 0"/>
          </a:avLst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tx1"/>
              </a:solidFill>
              <a:latin typeface="Arial Nova Cond" panose="020B0506020202020204" pitchFamily="34" charset="0"/>
            </a:rPr>
            <a:t>GERAR</a:t>
          </a:r>
          <a:r>
            <a:rPr lang="pt-BR" sz="1400" baseline="0">
              <a:solidFill>
                <a:schemeClr val="tx1"/>
              </a:solidFill>
              <a:latin typeface="Arial Nova Cond" panose="020B0506020202020204" pitchFamily="34" charset="0"/>
            </a:rPr>
            <a:t> TABELAS</a:t>
          </a:r>
          <a:endParaRPr lang="pt-BR" sz="1400">
            <a:solidFill>
              <a:schemeClr val="tx1"/>
            </a:solidFill>
            <a:latin typeface="Arial Nova Cond" panose="020B0506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5</xdr:row>
      <xdr:rowOff>314325</xdr:rowOff>
    </xdr:from>
    <xdr:to>
      <xdr:col>2</xdr:col>
      <xdr:colOff>9524</xdr:colOff>
      <xdr:row>7</xdr:row>
      <xdr:rowOff>47625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560C720-EDC4-41C9-B91A-DEA8B00F3535}"/>
            </a:ext>
          </a:extLst>
        </xdr:cNvPr>
        <xdr:cNvSpPr/>
      </xdr:nvSpPr>
      <xdr:spPr>
        <a:xfrm>
          <a:off x="0" y="2133600"/>
          <a:ext cx="1990724" cy="438150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tx1"/>
              </a:solidFill>
              <a:latin typeface="Arial Nova Cond" panose="020B0506020202020204" pitchFamily="34" charset="0"/>
            </a:rPr>
            <a:t>CCO</a:t>
          </a:r>
        </a:p>
      </xdr:txBody>
    </xdr:sp>
    <xdr:clientData/>
  </xdr:twoCellAnchor>
  <xdr:twoCellAnchor editAs="absolute">
    <xdr:from>
      <xdr:col>0</xdr:col>
      <xdr:colOff>0</xdr:colOff>
      <xdr:row>7</xdr:row>
      <xdr:rowOff>114300</xdr:rowOff>
    </xdr:from>
    <xdr:to>
      <xdr:col>2</xdr:col>
      <xdr:colOff>9524</xdr:colOff>
      <xdr:row>8</xdr:row>
      <xdr:rowOff>200025</xdr:rowOff>
    </xdr:to>
    <xdr:sp macro="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9018642-F995-41FE-B30D-F2F7D32087D3}"/>
            </a:ext>
          </a:extLst>
        </xdr:cNvPr>
        <xdr:cNvSpPr/>
      </xdr:nvSpPr>
      <xdr:spPr>
        <a:xfrm>
          <a:off x="0" y="2638425"/>
          <a:ext cx="1990724" cy="438150"/>
        </a:xfrm>
        <a:prstGeom prst="roundRect">
          <a:avLst>
            <a:gd name="adj" fmla="val 0"/>
          </a:avLst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>
                  <a:lumMod val="95000"/>
                </a:schemeClr>
              </a:solidFill>
              <a:latin typeface="Arial Nova Cond" panose="020B0506020202020204" pitchFamily="34" charset="0"/>
            </a:rPr>
            <a:t>SIN</a:t>
          </a:r>
        </a:p>
      </xdr:txBody>
    </xdr:sp>
    <xdr:clientData/>
  </xdr:twoCellAnchor>
  <xdr:twoCellAnchor editAs="absolute">
    <xdr:from>
      <xdr:col>0</xdr:col>
      <xdr:colOff>0</xdr:colOff>
      <xdr:row>8</xdr:row>
      <xdr:rowOff>266700</xdr:rowOff>
    </xdr:from>
    <xdr:to>
      <xdr:col>2</xdr:col>
      <xdr:colOff>9524</xdr:colOff>
      <xdr:row>10</xdr:row>
      <xdr:rowOff>238125</xdr:rowOff>
    </xdr:to>
    <xdr:sp macro="" textlink="">
      <xdr:nvSpPr>
        <xdr:cNvPr id="5" name="Retângulo: Cantos Arredondado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7CF6D18-CEE8-4A45-84C3-46E280F91E91}"/>
            </a:ext>
          </a:extLst>
        </xdr:cNvPr>
        <xdr:cNvSpPr/>
      </xdr:nvSpPr>
      <xdr:spPr>
        <a:xfrm>
          <a:off x="0" y="3143250"/>
          <a:ext cx="1990724" cy="438150"/>
        </a:xfrm>
        <a:prstGeom prst="roundRect">
          <a:avLst>
            <a:gd name="adj" fmla="val 0"/>
          </a:avLst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>
                  <a:lumMod val="95000"/>
                </a:schemeClr>
              </a:solidFill>
              <a:latin typeface="Arial Nova Cond" panose="020B0506020202020204" pitchFamily="34" charset="0"/>
            </a:rPr>
            <a:t>Optativas</a:t>
          </a:r>
        </a:p>
      </xdr:txBody>
    </xdr:sp>
    <xdr:clientData/>
  </xdr:twoCellAnchor>
  <xdr:twoCellAnchor editAs="absolute">
    <xdr:from>
      <xdr:col>0</xdr:col>
      <xdr:colOff>0</xdr:colOff>
      <xdr:row>10</xdr:row>
      <xdr:rowOff>304800</xdr:rowOff>
    </xdr:from>
    <xdr:to>
      <xdr:col>2</xdr:col>
      <xdr:colOff>9524</xdr:colOff>
      <xdr:row>12</xdr:row>
      <xdr:rowOff>38100</xdr:rowOff>
    </xdr:to>
    <xdr:sp macro="" textlink="">
      <xdr:nvSpPr>
        <xdr:cNvPr id="6" name="Retângulo: Cantos Arredondado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8946AFA-DF44-484B-9323-EF8D76870679}"/>
            </a:ext>
          </a:extLst>
        </xdr:cNvPr>
        <xdr:cNvSpPr/>
      </xdr:nvSpPr>
      <xdr:spPr>
        <a:xfrm>
          <a:off x="0" y="3648075"/>
          <a:ext cx="1990724" cy="438150"/>
        </a:xfrm>
        <a:prstGeom prst="roundRect">
          <a:avLst>
            <a:gd name="adj" fmla="val 0"/>
          </a:avLst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>
                  <a:lumMod val="95000"/>
                </a:schemeClr>
              </a:solidFill>
              <a:latin typeface="Arial Nova Cond" panose="020B0506020202020204" pitchFamily="34" charset="0"/>
            </a:rPr>
            <a:t>Poscomp</a:t>
          </a:r>
        </a:p>
      </xdr:txBody>
    </xdr:sp>
    <xdr:clientData/>
  </xdr:twoCellAnchor>
  <xdr:twoCellAnchor editAs="absolute">
    <xdr:from>
      <xdr:col>2</xdr:col>
      <xdr:colOff>9526</xdr:colOff>
      <xdr:row>0</xdr:row>
      <xdr:rowOff>0</xdr:rowOff>
    </xdr:from>
    <xdr:to>
      <xdr:col>2</xdr:col>
      <xdr:colOff>1269526</xdr:colOff>
      <xdr:row>1</xdr:row>
      <xdr:rowOff>9525</xdr:rowOff>
    </xdr:to>
    <xdr:sp macro="" textlink="">
      <xdr:nvSpPr>
        <xdr:cNvPr id="7" name="Retângul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BDF808D-71B4-479A-A788-CCF69CFACA1C}"/>
            </a:ext>
          </a:extLst>
        </xdr:cNvPr>
        <xdr:cNvSpPr/>
      </xdr:nvSpPr>
      <xdr:spPr>
        <a:xfrm>
          <a:off x="1990726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  <a:latin typeface="Arial Nova Cond" panose="020B0506020202020204" pitchFamily="34" charset="0"/>
            </a:rPr>
            <a:t>1º Período</a:t>
          </a:r>
        </a:p>
      </xdr:txBody>
    </xdr:sp>
    <xdr:clientData/>
  </xdr:twoCellAnchor>
  <xdr:twoCellAnchor editAs="absolute">
    <xdr:from>
      <xdr:col>2</xdr:col>
      <xdr:colOff>1268017</xdr:colOff>
      <xdr:row>0</xdr:row>
      <xdr:rowOff>0</xdr:rowOff>
    </xdr:from>
    <xdr:to>
      <xdr:col>3</xdr:col>
      <xdr:colOff>1108792</xdr:colOff>
      <xdr:row>1</xdr:row>
      <xdr:rowOff>9525</xdr:rowOff>
    </xdr:to>
    <xdr:sp macro="" textlink="">
      <xdr:nvSpPr>
        <xdr:cNvPr id="8" name="Retângulo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81697D8-31A8-4251-86C7-AA73E8B5217E}"/>
            </a:ext>
          </a:extLst>
        </xdr:cNvPr>
        <xdr:cNvSpPr/>
      </xdr:nvSpPr>
      <xdr:spPr>
        <a:xfrm>
          <a:off x="3249217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2º Período</a:t>
          </a:r>
        </a:p>
      </xdr:txBody>
    </xdr:sp>
    <xdr:clientData/>
  </xdr:twoCellAnchor>
  <xdr:twoCellAnchor editAs="absolute">
    <xdr:from>
      <xdr:col>3</xdr:col>
      <xdr:colOff>1107283</xdr:colOff>
      <xdr:row>0</xdr:row>
      <xdr:rowOff>0</xdr:rowOff>
    </xdr:from>
    <xdr:to>
      <xdr:col>4</xdr:col>
      <xdr:colOff>948058</xdr:colOff>
      <xdr:row>1</xdr:row>
      <xdr:rowOff>9525</xdr:rowOff>
    </xdr:to>
    <xdr:sp macro="" textlink="">
      <xdr:nvSpPr>
        <xdr:cNvPr id="9" name="Retângulo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3EC3DA6F-2691-4230-A26F-4B2050549EF9}"/>
            </a:ext>
          </a:extLst>
        </xdr:cNvPr>
        <xdr:cNvSpPr/>
      </xdr:nvSpPr>
      <xdr:spPr>
        <a:xfrm>
          <a:off x="4507708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3º Período</a:t>
          </a:r>
        </a:p>
      </xdr:txBody>
    </xdr:sp>
    <xdr:clientData/>
  </xdr:twoCellAnchor>
  <xdr:twoCellAnchor editAs="absolute">
    <xdr:from>
      <xdr:col>4</xdr:col>
      <xdr:colOff>946549</xdr:colOff>
      <xdr:row>0</xdr:row>
      <xdr:rowOff>0</xdr:rowOff>
    </xdr:from>
    <xdr:to>
      <xdr:col>5</xdr:col>
      <xdr:colOff>787324</xdr:colOff>
      <xdr:row>1</xdr:row>
      <xdr:rowOff>9525</xdr:rowOff>
    </xdr:to>
    <xdr:sp macro="" textlink="">
      <xdr:nvSpPr>
        <xdr:cNvPr id="10" name="Retângulo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79EC08A-61D0-4996-B44E-F3B94D6F3E21}"/>
            </a:ext>
          </a:extLst>
        </xdr:cNvPr>
        <xdr:cNvSpPr/>
      </xdr:nvSpPr>
      <xdr:spPr>
        <a:xfrm>
          <a:off x="5766199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4º Período</a:t>
          </a:r>
        </a:p>
      </xdr:txBody>
    </xdr:sp>
    <xdr:clientData/>
  </xdr:twoCellAnchor>
  <xdr:twoCellAnchor editAs="absolute">
    <xdr:from>
      <xdr:col>5</xdr:col>
      <xdr:colOff>785815</xdr:colOff>
      <xdr:row>0</xdr:row>
      <xdr:rowOff>0</xdr:rowOff>
    </xdr:from>
    <xdr:to>
      <xdr:col>6</xdr:col>
      <xdr:colOff>626590</xdr:colOff>
      <xdr:row>1</xdr:row>
      <xdr:rowOff>9525</xdr:rowOff>
    </xdr:to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6D98A57A-7036-478B-8318-E8D5822429F7}"/>
            </a:ext>
          </a:extLst>
        </xdr:cNvPr>
        <xdr:cNvSpPr/>
      </xdr:nvSpPr>
      <xdr:spPr>
        <a:xfrm>
          <a:off x="7024690" y="0"/>
          <a:ext cx="1260000" cy="4191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  <a:latin typeface="Arial Nova Cond" panose="020B0506020202020204" pitchFamily="34" charset="0"/>
            </a:rPr>
            <a:t>5º Período</a:t>
          </a:r>
        </a:p>
      </xdr:txBody>
    </xdr:sp>
    <xdr:clientData/>
  </xdr:twoCellAnchor>
  <xdr:twoCellAnchor editAs="absolute">
    <xdr:from>
      <xdr:col>6</xdr:col>
      <xdr:colOff>625081</xdr:colOff>
      <xdr:row>0</xdr:row>
      <xdr:rowOff>0</xdr:rowOff>
    </xdr:from>
    <xdr:to>
      <xdr:col>7</xdr:col>
      <xdr:colOff>465856</xdr:colOff>
      <xdr:row>1</xdr:row>
      <xdr:rowOff>9525</xdr:rowOff>
    </xdr:to>
    <xdr:sp macro="" textlink="">
      <xdr:nvSpPr>
        <xdr:cNvPr id="12" name="Retângulo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6782CC41-792D-4453-938B-81D5F4869CA6}"/>
            </a:ext>
          </a:extLst>
        </xdr:cNvPr>
        <xdr:cNvSpPr/>
      </xdr:nvSpPr>
      <xdr:spPr>
        <a:xfrm>
          <a:off x="8283181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6º Período</a:t>
          </a:r>
        </a:p>
      </xdr:txBody>
    </xdr:sp>
    <xdr:clientData/>
  </xdr:twoCellAnchor>
  <xdr:twoCellAnchor editAs="absolute">
    <xdr:from>
      <xdr:col>7</xdr:col>
      <xdr:colOff>464347</xdr:colOff>
      <xdr:row>0</xdr:row>
      <xdr:rowOff>0</xdr:rowOff>
    </xdr:from>
    <xdr:to>
      <xdr:col>8</xdr:col>
      <xdr:colOff>305122</xdr:colOff>
      <xdr:row>1</xdr:row>
      <xdr:rowOff>9525</xdr:rowOff>
    </xdr:to>
    <xdr:sp macro="" textlink="">
      <xdr:nvSpPr>
        <xdr:cNvPr id="13" name="Retângulo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732B4D39-6508-4F1D-8E72-0D2941844579}"/>
            </a:ext>
          </a:extLst>
        </xdr:cNvPr>
        <xdr:cNvSpPr/>
      </xdr:nvSpPr>
      <xdr:spPr>
        <a:xfrm>
          <a:off x="9541672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7º Período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352425</xdr:rowOff>
    </xdr:from>
    <xdr:to>
      <xdr:col>2</xdr:col>
      <xdr:colOff>9524</xdr:colOff>
      <xdr:row>2</xdr:row>
      <xdr:rowOff>28575</xdr:rowOff>
    </xdr:to>
    <xdr:sp macro="[0]!import_csv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9A3B782-BC5D-4F58-A0E4-013F8554AE91}"/>
            </a:ext>
          </a:extLst>
        </xdr:cNvPr>
        <xdr:cNvSpPr/>
      </xdr:nvSpPr>
      <xdr:spPr>
        <a:xfrm>
          <a:off x="0" y="352425"/>
          <a:ext cx="1990724" cy="438150"/>
        </a:xfrm>
        <a:prstGeom prst="roundRect">
          <a:avLst>
            <a:gd name="adj" fmla="val 0"/>
          </a:avLst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tx1"/>
              </a:solidFill>
              <a:latin typeface="Arial Nova Cond" panose="020B0506020202020204" pitchFamily="34" charset="0"/>
            </a:rPr>
            <a:t>GERAR</a:t>
          </a:r>
          <a:r>
            <a:rPr lang="pt-BR" sz="1400" baseline="0">
              <a:solidFill>
                <a:schemeClr val="tx1"/>
              </a:solidFill>
              <a:latin typeface="Arial Nova Cond" panose="020B0506020202020204" pitchFamily="34" charset="0"/>
            </a:rPr>
            <a:t> TABELAS</a:t>
          </a:r>
          <a:endParaRPr lang="pt-BR" sz="1400">
            <a:solidFill>
              <a:schemeClr val="tx1"/>
            </a:solidFill>
            <a:latin typeface="Arial Nova Cond" panose="020B0506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5</xdr:row>
      <xdr:rowOff>314325</xdr:rowOff>
    </xdr:from>
    <xdr:to>
      <xdr:col>2</xdr:col>
      <xdr:colOff>9524</xdr:colOff>
      <xdr:row>7</xdr:row>
      <xdr:rowOff>47625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AE2F46B-C8DA-417C-BE35-E3849C1054D1}"/>
            </a:ext>
          </a:extLst>
        </xdr:cNvPr>
        <xdr:cNvSpPr/>
      </xdr:nvSpPr>
      <xdr:spPr>
        <a:xfrm>
          <a:off x="0" y="2133600"/>
          <a:ext cx="1990724" cy="438150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tx1"/>
              </a:solidFill>
              <a:latin typeface="Arial Nova Cond" panose="020B0506020202020204" pitchFamily="34" charset="0"/>
            </a:rPr>
            <a:t>CCO</a:t>
          </a:r>
        </a:p>
      </xdr:txBody>
    </xdr:sp>
    <xdr:clientData/>
  </xdr:twoCellAnchor>
  <xdr:twoCellAnchor editAs="absolute">
    <xdr:from>
      <xdr:col>0</xdr:col>
      <xdr:colOff>0</xdr:colOff>
      <xdr:row>7</xdr:row>
      <xdr:rowOff>114300</xdr:rowOff>
    </xdr:from>
    <xdr:to>
      <xdr:col>2</xdr:col>
      <xdr:colOff>9524</xdr:colOff>
      <xdr:row>8</xdr:row>
      <xdr:rowOff>200025</xdr:rowOff>
    </xdr:to>
    <xdr:sp macro="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B295951-1B6D-4335-A3AF-6E2864E40C19}"/>
            </a:ext>
          </a:extLst>
        </xdr:cNvPr>
        <xdr:cNvSpPr/>
      </xdr:nvSpPr>
      <xdr:spPr>
        <a:xfrm>
          <a:off x="0" y="2638425"/>
          <a:ext cx="1990724" cy="438150"/>
        </a:xfrm>
        <a:prstGeom prst="roundRect">
          <a:avLst>
            <a:gd name="adj" fmla="val 0"/>
          </a:avLst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>
                  <a:lumMod val="95000"/>
                </a:schemeClr>
              </a:solidFill>
              <a:latin typeface="Arial Nova Cond" panose="020B0506020202020204" pitchFamily="34" charset="0"/>
            </a:rPr>
            <a:t>SIN</a:t>
          </a:r>
        </a:p>
      </xdr:txBody>
    </xdr:sp>
    <xdr:clientData/>
  </xdr:twoCellAnchor>
  <xdr:twoCellAnchor editAs="absolute">
    <xdr:from>
      <xdr:col>0</xdr:col>
      <xdr:colOff>0</xdr:colOff>
      <xdr:row>8</xdr:row>
      <xdr:rowOff>266700</xdr:rowOff>
    </xdr:from>
    <xdr:to>
      <xdr:col>2</xdr:col>
      <xdr:colOff>9524</xdr:colOff>
      <xdr:row>10</xdr:row>
      <xdr:rowOff>238125</xdr:rowOff>
    </xdr:to>
    <xdr:sp macro="" textlink="">
      <xdr:nvSpPr>
        <xdr:cNvPr id="5" name="Retângulo: Cantos Arredondado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1D84A29-92EC-4B6A-9C7A-349883724B94}"/>
            </a:ext>
          </a:extLst>
        </xdr:cNvPr>
        <xdr:cNvSpPr/>
      </xdr:nvSpPr>
      <xdr:spPr>
        <a:xfrm>
          <a:off x="0" y="3143250"/>
          <a:ext cx="1990724" cy="438150"/>
        </a:xfrm>
        <a:prstGeom prst="roundRect">
          <a:avLst>
            <a:gd name="adj" fmla="val 0"/>
          </a:avLst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>
                  <a:lumMod val="95000"/>
                </a:schemeClr>
              </a:solidFill>
              <a:latin typeface="Arial Nova Cond" panose="020B0506020202020204" pitchFamily="34" charset="0"/>
            </a:rPr>
            <a:t>Optativas</a:t>
          </a:r>
        </a:p>
      </xdr:txBody>
    </xdr:sp>
    <xdr:clientData/>
  </xdr:twoCellAnchor>
  <xdr:twoCellAnchor editAs="absolute">
    <xdr:from>
      <xdr:col>0</xdr:col>
      <xdr:colOff>0</xdr:colOff>
      <xdr:row>10</xdr:row>
      <xdr:rowOff>304800</xdr:rowOff>
    </xdr:from>
    <xdr:to>
      <xdr:col>2</xdr:col>
      <xdr:colOff>9524</xdr:colOff>
      <xdr:row>12</xdr:row>
      <xdr:rowOff>38100</xdr:rowOff>
    </xdr:to>
    <xdr:sp macro="" textlink="">
      <xdr:nvSpPr>
        <xdr:cNvPr id="6" name="Retângulo: Cantos Arredondado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6C58542-1BD6-48B7-949D-490E32D3674C}"/>
            </a:ext>
          </a:extLst>
        </xdr:cNvPr>
        <xdr:cNvSpPr/>
      </xdr:nvSpPr>
      <xdr:spPr>
        <a:xfrm>
          <a:off x="0" y="3648075"/>
          <a:ext cx="1990724" cy="438150"/>
        </a:xfrm>
        <a:prstGeom prst="roundRect">
          <a:avLst>
            <a:gd name="adj" fmla="val 0"/>
          </a:avLst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>
                  <a:lumMod val="95000"/>
                </a:schemeClr>
              </a:solidFill>
              <a:latin typeface="Arial Nova Cond" panose="020B0506020202020204" pitchFamily="34" charset="0"/>
            </a:rPr>
            <a:t>Poscomp</a:t>
          </a:r>
        </a:p>
      </xdr:txBody>
    </xdr:sp>
    <xdr:clientData/>
  </xdr:twoCellAnchor>
  <xdr:twoCellAnchor editAs="absolute">
    <xdr:from>
      <xdr:col>2</xdr:col>
      <xdr:colOff>9526</xdr:colOff>
      <xdr:row>0</xdr:row>
      <xdr:rowOff>0</xdr:rowOff>
    </xdr:from>
    <xdr:to>
      <xdr:col>2</xdr:col>
      <xdr:colOff>1269526</xdr:colOff>
      <xdr:row>1</xdr:row>
      <xdr:rowOff>9525</xdr:rowOff>
    </xdr:to>
    <xdr:sp macro="" textlink="">
      <xdr:nvSpPr>
        <xdr:cNvPr id="7" name="Retângul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6EFEB92-DE66-472A-B580-DD81D800CE4C}"/>
            </a:ext>
          </a:extLst>
        </xdr:cNvPr>
        <xdr:cNvSpPr/>
      </xdr:nvSpPr>
      <xdr:spPr>
        <a:xfrm>
          <a:off x="1990726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  <a:latin typeface="Arial Nova Cond" panose="020B0506020202020204" pitchFamily="34" charset="0"/>
            </a:rPr>
            <a:t>1º Período</a:t>
          </a:r>
        </a:p>
      </xdr:txBody>
    </xdr:sp>
    <xdr:clientData/>
  </xdr:twoCellAnchor>
  <xdr:twoCellAnchor editAs="absolute">
    <xdr:from>
      <xdr:col>2</xdr:col>
      <xdr:colOff>1268017</xdr:colOff>
      <xdr:row>0</xdr:row>
      <xdr:rowOff>0</xdr:rowOff>
    </xdr:from>
    <xdr:to>
      <xdr:col>3</xdr:col>
      <xdr:colOff>1108792</xdr:colOff>
      <xdr:row>1</xdr:row>
      <xdr:rowOff>9525</xdr:rowOff>
    </xdr:to>
    <xdr:sp macro="" textlink="">
      <xdr:nvSpPr>
        <xdr:cNvPr id="8" name="Retângulo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6B48FDF-395D-4A57-8B36-A813F64F27C4}"/>
            </a:ext>
          </a:extLst>
        </xdr:cNvPr>
        <xdr:cNvSpPr/>
      </xdr:nvSpPr>
      <xdr:spPr>
        <a:xfrm>
          <a:off x="3249217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2º Período</a:t>
          </a:r>
        </a:p>
      </xdr:txBody>
    </xdr:sp>
    <xdr:clientData/>
  </xdr:twoCellAnchor>
  <xdr:twoCellAnchor editAs="absolute">
    <xdr:from>
      <xdr:col>3</xdr:col>
      <xdr:colOff>1107283</xdr:colOff>
      <xdr:row>0</xdr:row>
      <xdr:rowOff>0</xdr:rowOff>
    </xdr:from>
    <xdr:to>
      <xdr:col>4</xdr:col>
      <xdr:colOff>948058</xdr:colOff>
      <xdr:row>1</xdr:row>
      <xdr:rowOff>9525</xdr:rowOff>
    </xdr:to>
    <xdr:sp macro="" textlink="">
      <xdr:nvSpPr>
        <xdr:cNvPr id="9" name="Retângulo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5FC7582-8027-404A-927D-612337DA2C2B}"/>
            </a:ext>
          </a:extLst>
        </xdr:cNvPr>
        <xdr:cNvSpPr/>
      </xdr:nvSpPr>
      <xdr:spPr>
        <a:xfrm>
          <a:off x="4507708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3º Período</a:t>
          </a:r>
        </a:p>
      </xdr:txBody>
    </xdr:sp>
    <xdr:clientData/>
  </xdr:twoCellAnchor>
  <xdr:twoCellAnchor editAs="absolute">
    <xdr:from>
      <xdr:col>4</xdr:col>
      <xdr:colOff>946549</xdr:colOff>
      <xdr:row>0</xdr:row>
      <xdr:rowOff>0</xdr:rowOff>
    </xdr:from>
    <xdr:to>
      <xdr:col>5</xdr:col>
      <xdr:colOff>787324</xdr:colOff>
      <xdr:row>1</xdr:row>
      <xdr:rowOff>9525</xdr:rowOff>
    </xdr:to>
    <xdr:sp macro="" textlink="">
      <xdr:nvSpPr>
        <xdr:cNvPr id="10" name="Retângulo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F51D1BDA-1D3D-4838-8288-E12CB3902BB8}"/>
            </a:ext>
          </a:extLst>
        </xdr:cNvPr>
        <xdr:cNvSpPr/>
      </xdr:nvSpPr>
      <xdr:spPr>
        <a:xfrm>
          <a:off x="5766199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4º Período</a:t>
          </a:r>
        </a:p>
      </xdr:txBody>
    </xdr:sp>
    <xdr:clientData/>
  </xdr:twoCellAnchor>
  <xdr:twoCellAnchor editAs="absolute">
    <xdr:from>
      <xdr:col>5</xdr:col>
      <xdr:colOff>785815</xdr:colOff>
      <xdr:row>0</xdr:row>
      <xdr:rowOff>0</xdr:rowOff>
    </xdr:from>
    <xdr:to>
      <xdr:col>6</xdr:col>
      <xdr:colOff>626590</xdr:colOff>
      <xdr:row>1</xdr:row>
      <xdr:rowOff>9525</xdr:rowOff>
    </xdr:to>
    <xdr:sp macro="" textlink="">
      <xdr:nvSpPr>
        <xdr:cNvPr id="11" name="Retângulo 1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6D96C8D-8CFB-40D6-A188-ECC015F6C00A}"/>
            </a:ext>
          </a:extLst>
        </xdr:cNvPr>
        <xdr:cNvSpPr/>
      </xdr:nvSpPr>
      <xdr:spPr>
        <a:xfrm>
          <a:off x="7024690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5º Período</a:t>
          </a:r>
        </a:p>
      </xdr:txBody>
    </xdr:sp>
    <xdr:clientData/>
  </xdr:twoCellAnchor>
  <xdr:twoCellAnchor editAs="absolute">
    <xdr:from>
      <xdr:col>6</xdr:col>
      <xdr:colOff>625081</xdr:colOff>
      <xdr:row>0</xdr:row>
      <xdr:rowOff>0</xdr:rowOff>
    </xdr:from>
    <xdr:to>
      <xdr:col>7</xdr:col>
      <xdr:colOff>465856</xdr:colOff>
      <xdr:row>1</xdr:row>
      <xdr:rowOff>9525</xdr:rowOff>
    </xdr:to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1CE397EB-038C-47C0-9EC5-FEC6D8E2F656}"/>
            </a:ext>
          </a:extLst>
        </xdr:cNvPr>
        <xdr:cNvSpPr/>
      </xdr:nvSpPr>
      <xdr:spPr>
        <a:xfrm>
          <a:off x="8283181" y="0"/>
          <a:ext cx="1260000" cy="4191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  <a:latin typeface="Arial Nova Cond" panose="020B0506020202020204" pitchFamily="34" charset="0"/>
            </a:rPr>
            <a:t>6º Período</a:t>
          </a:r>
        </a:p>
      </xdr:txBody>
    </xdr:sp>
    <xdr:clientData/>
  </xdr:twoCellAnchor>
  <xdr:twoCellAnchor editAs="absolute">
    <xdr:from>
      <xdr:col>7</xdr:col>
      <xdr:colOff>464347</xdr:colOff>
      <xdr:row>0</xdr:row>
      <xdr:rowOff>0</xdr:rowOff>
    </xdr:from>
    <xdr:to>
      <xdr:col>8</xdr:col>
      <xdr:colOff>305122</xdr:colOff>
      <xdr:row>1</xdr:row>
      <xdr:rowOff>9525</xdr:rowOff>
    </xdr:to>
    <xdr:sp macro="" textlink="">
      <xdr:nvSpPr>
        <xdr:cNvPr id="13" name="Retângulo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81AA4A26-B4A9-4804-9E4D-659275B73795}"/>
            </a:ext>
          </a:extLst>
        </xdr:cNvPr>
        <xdr:cNvSpPr/>
      </xdr:nvSpPr>
      <xdr:spPr>
        <a:xfrm>
          <a:off x="9541672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7º Período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352425</xdr:rowOff>
    </xdr:from>
    <xdr:to>
      <xdr:col>2</xdr:col>
      <xdr:colOff>9524</xdr:colOff>
      <xdr:row>2</xdr:row>
      <xdr:rowOff>28575</xdr:rowOff>
    </xdr:to>
    <xdr:sp macro="[0]!import_csv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984A965E-BE80-4A31-9A50-05EBCB0158A3}"/>
            </a:ext>
          </a:extLst>
        </xdr:cNvPr>
        <xdr:cNvSpPr/>
      </xdr:nvSpPr>
      <xdr:spPr>
        <a:xfrm>
          <a:off x="0" y="352425"/>
          <a:ext cx="1990724" cy="438150"/>
        </a:xfrm>
        <a:prstGeom prst="roundRect">
          <a:avLst>
            <a:gd name="adj" fmla="val 0"/>
          </a:avLst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tx1"/>
              </a:solidFill>
              <a:latin typeface="Arial Nova Cond" panose="020B0506020202020204" pitchFamily="34" charset="0"/>
            </a:rPr>
            <a:t>GERAR</a:t>
          </a:r>
          <a:r>
            <a:rPr lang="pt-BR" sz="1400" baseline="0">
              <a:solidFill>
                <a:schemeClr val="tx1"/>
              </a:solidFill>
              <a:latin typeface="Arial Nova Cond" panose="020B0506020202020204" pitchFamily="34" charset="0"/>
            </a:rPr>
            <a:t> TABELAS</a:t>
          </a:r>
          <a:endParaRPr lang="pt-BR" sz="1400">
            <a:solidFill>
              <a:schemeClr val="tx1"/>
            </a:solidFill>
            <a:latin typeface="Arial Nova Cond" panose="020B0506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5</xdr:row>
      <xdr:rowOff>314325</xdr:rowOff>
    </xdr:from>
    <xdr:to>
      <xdr:col>2</xdr:col>
      <xdr:colOff>9524</xdr:colOff>
      <xdr:row>7</xdr:row>
      <xdr:rowOff>47625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6498A51A-AEA5-4DA4-9C9D-FBCBC7C17548}"/>
            </a:ext>
          </a:extLst>
        </xdr:cNvPr>
        <xdr:cNvSpPr/>
      </xdr:nvSpPr>
      <xdr:spPr>
        <a:xfrm>
          <a:off x="0" y="2133600"/>
          <a:ext cx="1990724" cy="438150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tx1"/>
              </a:solidFill>
              <a:latin typeface="Arial Nova Cond" panose="020B0506020202020204" pitchFamily="34" charset="0"/>
            </a:rPr>
            <a:t>CCO</a:t>
          </a:r>
        </a:p>
      </xdr:txBody>
    </xdr:sp>
    <xdr:clientData/>
  </xdr:twoCellAnchor>
  <xdr:twoCellAnchor editAs="absolute">
    <xdr:from>
      <xdr:col>0</xdr:col>
      <xdr:colOff>0</xdr:colOff>
      <xdr:row>7</xdr:row>
      <xdr:rowOff>114300</xdr:rowOff>
    </xdr:from>
    <xdr:to>
      <xdr:col>2</xdr:col>
      <xdr:colOff>9524</xdr:colOff>
      <xdr:row>8</xdr:row>
      <xdr:rowOff>200025</xdr:rowOff>
    </xdr:to>
    <xdr:sp macro="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DEF5434-5699-4652-906D-43AFDD678623}"/>
            </a:ext>
          </a:extLst>
        </xdr:cNvPr>
        <xdr:cNvSpPr/>
      </xdr:nvSpPr>
      <xdr:spPr>
        <a:xfrm>
          <a:off x="0" y="2638425"/>
          <a:ext cx="1990724" cy="438150"/>
        </a:xfrm>
        <a:prstGeom prst="roundRect">
          <a:avLst>
            <a:gd name="adj" fmla="val 0"/>
          </a:avLst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>
                  <a:lumMod val="95000"/>
                </a:schemeClr>
              </a:solidFill>
              <a:latin typeface="Arial Nova Cond" panose="020B0506020202020204" pitchFamily="34" charset="0"/>
            </a:rPr>
            <a:t>SIN</a:t>
          </a:r>
        </a:p>
      </xdr:txBody>
    </xdr:sp>
    <xdr:clientData/>
  </xdr:twoCellAnchor>
  <xdr:twoCellAnchor editAs="absolute">
    <xdr:from>
      <xdr:col>0</xdr:col>
      <xdr:colOff>0</xdr:colOff>
      <xdr:row>8</xdr:row>
      <xdr:rowOff>266700</xdr:rowOff>
    </xdr:from>
    <xdr:to>
      <xdr:col>2</xdr:col>
      <xdr:colOff>9524</xdr:colOff>
      <xdr:row>10</xdr:row>
      <xdr:rowOff>238125</xdr:rowOff>
    </xdr:to>
    <xdr:sp macro="" textlink="">
      <xdr:nvSpPr>
        <xdr:cNvPr id="5" name="Retângulo: Cantos Arredondado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1171E9F-CDB9-40D2-A0CA-E364B7EC883C}"/>
            </a:ext>
          </a:extLst>
        </xdr:cNvPr>
        <xdr:cNvSpPr/>
      </xdr:nvSpPr>
      <xdr:spPr>
        <a:xfrm>
          <a:off x="0" y="3143250"/>
          <a:ext cx="1990724" cy="438150"/>
        </a:xfrm>
        <a:prstGeom prst="roundRect">
          <a:avLst>
            <a:gd name="adj" fmla="val 0"/>
          </a:avLst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>
                  <a:lumMod val="95000"/>
                </a:schemeClr>
              </a:solidFill>
              <a:latin typeface="Arial Nova Cond" panose="020B0506020202020204" pitchFamily="34" charset="0"/>
            </a:rPr>
            <a:t>Optativas</a:t>
          </a:r>
        </a:p>
      </xdr:txBody>
    </xdr:sp>
    <xdr:clientData/>
  </xdr:twoCellAnchor>
  <xdr:twoCellAnchor editAs="absolute">
    <xdr:from>
      <xdr:col>0</xdr:col>
      <xdr:colOff>0</xdr:colOff>
      <xdr:row>10</xdr:row>
      <xdr:rowOff>304800</xdr:rowOff>
    </xdr:from>
    <xdr:to>
      <xdr:col>2</xdr:col>
      <xdr:colOff>9524</xdr:colOff>
      <xdr:row>12</xdr:row>
      <xdr:rowOff>38100</xdr:rowOff>
    </xdr:to>
    <xdr:sp macro="" textlink="">
      <xdr:nvSpPr>
        <xdr:cNvPr id="6" name="Retângulo: Cantos Arredondado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6225B81-959C-4F57-81DA-60BACD93D576}"/>
            </a:ext>
          </a:extLst>
        </xdr:cNvPr>
        <xdr:cNvSpPr/>
      </xdr:nvSpPr>
      <xdr:spPr>
        <a:xfrm>
          <a:off x="0" y="3648075"/>
          <a:ext cx="1990724" cy="438150"/>
        </a:xfrm>
        <a:prstGeom prst="roundRect">
          <a:avLst>
            <a:gd name="adj" fmla="val 0"/>
          </a:avLst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>
                  <a:lumMod val="95000"/>
                </a:schemeClr>
              </a:solidFill>
              <a:latin typeface="Arial Nova Cond" panose="020B0506020202020204" pitchFamily="34" charset="0"/>
            </a:rPr>
            <a:t>Poscomp</a:t>
          </a:r>
        </a:p>
      </xdr:txBody>
    </xdr:sp>
    <xdr:clientData/>
  </xdr:twoCellAnchor>
  <xdr:twoCellAnchor editAs="absolute">
    <xdr:from>
      <xdr:col>2</xdr:col>
      <xdr:colOff>9526</xdr:colOff>
      <xdr:row>0</xdr:row>
      <xdr:rowOff>0</xdr:rowOff>
    </xdr:from>
    <xdr:to>
      <xdr:col>2</xdr:col>
      <xdr:colOff>1269526</xdr:colOff>
      <xdr:row>1</xdr:row>
      <xdr:rowOff>9525</xdr:rowOff>
    </xdr:to>
    <xdr:sp macro="" textlink="">
      <xdr:nvSpPr>
        <xdr:cNvPr id="7" name="Retângul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1610D96-2DE7-47A9-8B82-CB69BD163945}"/>
            </a:ext>
          </a:extLst>
        </xdr:cNvPr>
        <xdr:cNvSpPr/>
      </xdr:nvSpPr>
      <xdr:spPr>
        <a:xfrm>
          <a:off x="1990726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  <a:latin typeface="Arial Nova Cond" panose="020B0506020202020204" pitchFamily="34" charset="0"/>
            </a:rPr>
            <a:t>1º Período</a:t>
          </a:r>
        </a:p>
      </xdr:txBody>
    </xdr:sp>
    <xdr:clientData/>
  </xdr:twoCellAnchor>
  <xdr:twoCellAnchor editAs="absolute">
    <xdr:from>
      <xdr:col>2</xdr:col>
      <xdr:colOff>1268017</xdr:colOff>
      <xdr:row>0</xdr:row>
      <xdr:rowOff>0</xdr:rowOff>
    </xdr:from>
    <xdr:to>
      <xdr:col>3</xdr:col>
      <xdr:colOff>1108792</xdr:colOff>
      <xdr:row>1</xdr:row>
      <xdr:rowOff>9525</xdr:rowOff>
    </xdr:to>
    <xdr:sp macro="" textlink="">
      <xdr:nvSpPr>
        <xdr:cNvPr id="8" name="Retângulo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78C4987-FBB6-4391-9E53-C5701A97BEE9}"/>
            </a:ext>
          </a:extLst>
        </xdr:cNvPr>
        <xdr:cNvSpPr/>
      </xdr:nvSpPr>
      <xdr:spPr>
        <a:xfrm>
          <a:off x="3249217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2º Período</a:t>
          </a:r>
        </a:p>
      </xdr:txBody>
    </xdr:sp>
    <xdr:clientData/>
  </xdr:twoCellAnchor>
  <xdr:twoCellAnchor editAs="absolute">
    <xdr:from>
      <xdr:col>3</xdr:col>
      <xdr:colOff>1107283</xdr:colOff>
      <xdr:row>0</xdr:row>
      <xdr:rowOff>0</xdr:rowOff>
    </xdr:from>
    <xdr:to>
      <xdr:col>4</xdr:col>
      <xdr:colOff>948058</xdr:colOff>
      <xdr:row>1</xdr:row>
      <xdr:rowOff>9525</xdr:rowOff>
    </xdr:to>
    <xdr:sp macro="" textlink="">
      <xdr:nvSpPr>
        <xdr:cNvPr id="9" name="Retângulo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9BB2B31-5B4B-4FC6-87D3-B5ED9D87095A}"/>
            </a:ext>
          </a:extLst>
        </xdr:cNvPr>
        <xdr:cNvSpPr/>
      </xdr:nvSpPr>
      <xdr:spPr>
        <a:xfrm>
          <a:off x="4507708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3º Período</a:t>
          </a:r>
        </a:p>
      </xdr:txBody>
    </xdr:sp>
    <xdr:clientData/>
  </xdr:twoCellAnchor>
  <xdr:twoCellAnchor editAs="absolute">
    <xdr:from>
      <xdr:col>4</xdr:col>
      <xdr:colOff>946549</xdr:colOff>
      <xdr:row>0</xdr:row>
      <xdr:rowOff>0</xdr:rowOff>
    </xdr:from>
    <xdr:to>
      <xdr:col>5</xdr:col>
      <xdr:colOff>787324</xdr:colOff>
      <xdr:row>1</xdr:row>
      <xdr:rowOff>9525</xdr:rowOff>
    </xdr:to>
    <xdr:sp macro="" textlink="">
      <xdr:nvSpPr>
        <xdr:cNvPr id="10" name="Retângulo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32614BA7-F8A7-441E-8A84-6C000D57A794}"/>
            </a:ext>
          </a:extLst>
        </xdr:cNvPr>
        <xdr:cNvSpPr/>
      </xdr:nvSpPr>
      <xdr:spPr>
        <a:xfrm>
          <a:off x="5766199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4º Período</a:t>
          </a:r>
        </a:p>
      </xdr:txBody>
    </xdr:sp>
    <xdr:clientData/>
  </xdr:twoCellAnchor>
  <xdr:twoCellAnchor editAs="absolute">
    <xdr:from>
      <xdr:col>5</xdr:col>
      <xdr:colOff>785815</xdr:colOff>
      <xdr:row>0</xdr:row>
      <xdr:rowOff>0</xdr:rowOff>
    </xdr:from>
    <xdr:to>
      <xdr:col>6</xdr:col>
      <xdr:colOff>626590</xdr:colOff>
      <xdr:row>1</xdr:row>
      <xdr:rowOff>9525</xdr:rowOff>
    </xdr:to>
    <xdr:sp macro="" textlink="">
      <xdr:nvSpPr>
        <xdr:cNvPr id="11" name="Retângulo 1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DFD9E24-2EDE-4EB7-8A53-F0BB797B1BF9}"/>
            </a:ext>
          </a:extLst>
        </xdr:cNvPr>
        <xdr:cNvSpPr/>
      </xdr:nvSpPr>
      <xdr:spPr>
        <a:xfrm>
          <a:off x="7024690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5º Período</a:t>
          </a:r>
        </a:p>
      </xdr:txBody>
    </xdr:sp>
    <xdr:clientData/>
  </xdr:twoCellAnchor>
  <xdr:twoCellAnchor editAs="absolute">
    <xdr:from>
      <xdr:col>6</xdr:col>
      <xdr:colOff>625081</xdr:colOff>
      <xdr:row>0</xdr:row>
      <xdr:rowOff>0</xdr:rowOff>
    </xdr:from>
    <xdr:to>
      <xdr:col>7</xdr:col>
      <xdr:colOff>465856</xdr:colOff>
      <xdr:row>1</xdr:row>
      <xdr:rowOff>9525</xdr:rowOff>
    </xdr:to>
    <xdr:sp macro="" textlink="">
      <xdr:nvSpPr>
        <xdr:cNvPr id="12" name="Retângulo 1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36F92D52-93D3-4FE0-A1F0-706602D56DAA}"/>
            </a:ext>
          </a:extLst>
        </xdr:cNvPr>
        <xdr:cNvSpPr/>
      </xdr:nvSpPr>
      <xdr:spPr>
        <a:xfrm>
          <a:off x="8283181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6º Período</a:t>
          </a:r>
        </a:p>
      </xdr:txBody>
    </xdr:sp>
    <xdr:clientData/>
  </xdr:twoCellAnchor>
  <xdr:twoCellAnchor editAs="absolute">
    <xdr:from>
      <xdr:col>7</xdr:col>
      <xdr:colOff>464347</xdr:colOff>
      <xdr:row>0</xdr:row>
      <xdr:rowOff>0</xdr:rowOff>
    </xdr:from>
    <xdr:to>
      <xdr:col>8</xdr:col>
      <xdr:colOff>305122</xdr:colOff>
      <xdr:row>1</xdr:row>
      <xdr:rowOff>9525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AA8066DB-604A-4627-9201-8304D490E810}"/>
            </a:ext>
          </a:extLst>
        </xdr:cNvPr>
        <xdr:cNvSpPr/>
      </xdr:nvSpPr>
      <xdr:spPr>
        <a:xfrm>
          <a:off x="9541672" y="0"/>
          <a:ext cx="1260000" cy="4191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  <a:latin typeface="Arial Nova Cond" panose="020B0506020202020204" pitchFamily="34" charset="0"/>
            </a:rPr>
            <a:t>7º Período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352425</xdr:rowOff>
    </xdr:from>
    <xdr:to>
      <xdr:col>2</xdr:col>
      <xdr:colOff>9524</xdr:colOff>
      <xdr:row>2</xdr:row>
      <xdr:rowOff>28575</xdr:rowOff>
    </xdr:to>
    <xdr:sp macro="[0]!import_csv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316F2F5-02C1-499B-AD83-709832DED155}"/>
            </a:ext>
          </a:extLst>
        </xdr:cNvPr>
        <xdr:cNvSpPr/>
      </xdr:nvSpPr>
      <xdr:spPr>
        <a:xfrm>
          <a:off x="0" y="352425"/>
          <a:ext cx="1990724" cy="438150"/>
        </a:xfrm>
        <a:prstGeom prst="roundRect">
          <a:avLst>
            <a:gd name="adj" fmla="val 0"/>
          </a:avLst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tx1"/>
              </a:solidFill>
              <a:latin typeface="Arial Nova Cond" panose="020B0506020202020204" pitchFamily="34" charset="0"/>
            </a:rPr>
            <a:t>GERAR</a:t>
          </a:r>
          <a:r>
            <a:rPr lang="pt-BR" sz="1400" baseline="0">
              <a:solidFill>
                <a:schemeClr val="tx1"/>
              </a:solidFill>
              <a:latin typeface="Arial Nova Cond" panose="020B0506020202020204" pitchFamily="34" charset="0"/>
            </a:rPr>
            <a:t> TABELAS</a:t>
          </a:r>
          <a:endParaRPr lang="pt-BR" sz="1400">
            <a:solidFill>
              <a:schemeClr val="tx1"/>
            </a:solidFill>
            <a:latin typeface="Arial Nova Cond" panose="020B0506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5</xdr:row>
      <xdr:rowOff>314325</xdr:rowOff>
    </xdr:from>
    <xdr:to>
      <xdr:col>2</xdr:col>
      <xdr:colOff>9524</xdr:colOff>
      <xdr:row>7</xdr:row>
      <xdr:rowOff>47625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21B852-A816-475D-AD29-106D96CF6D83}"/>
            </a:ext>
          </a:extLst>
        </xdr:cNvPr>
        <xdr:cNvSpPr/>
      </xdr:nvSpPr>
      <xdr:spPr>
        <a:xfrm>
          <a:off x="0" y="2133600"/>
          <a:ext cx="1990724" cy="438150"/>
        </a:xfrm>
        <a:prstGeom prst="roundRect">
          <a:avLst>
            <a:gd name="adj" fmla="val 0"/>
          </a:avLst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/>
              </a:solidFill>
              <a:latin typeface="Arial Nova Cond" panose="020B0506020202020204" pitchFamily="34" charset="0"/>
            </a:rPr>
            <a:t>CCO</a:t>
          </a:r>
        </a:p>
      </xdr:txBody>
    </xdr:sp>
    <xdr:clientData/>
  </xdr:twoCellAnchor>
  <xdr:twoCellAnchor editAs="absolute">
    <xdr:from>
      <xdr:col>0</xdr:col>
      <xdr:colOff>0</xdr:colOff>
      <xdr:row>7</xdr:row>
      <xdr:rowOff>114300</xdr:rowOff>
    </xdr:from>
    <xdr:to>
      <xdr:col>2</xdr:col>
      <xdr:colOff>9524</xdr:colOff>
      <xdr:row>8</xdr:row>
      <xdr:rowOff>200025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BAB826B8-F82B-4829-AAFA-885A6FBD0AA9}"/>
            </a:ext>
          </a:extLst>
        </xdr:cNvPr>
        <xdr:cNvSpPr/>
      </xdr:nvSpPr>
      <xdr:spPr>
        <a:xfrm>
          <a:off x="0" y="2638425"/>
          <a:ext cx="1990724" cy="438150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tx1"/>
              </a:solidFill>
              <a:latin typeface="Arial Nova Cond" panose="020B0506020202020204" pitchFamily="34" charset="0"/>
            </a:rPr>
            <a:t>SIN</a:t>
          </a:r>
        </a:p>
      </xdr:txBody>
    </xdr:sp>
    <xdr:clientData/>
  </xdr:twoCellAnchor>
  <xdr:twoCellAnchor editAs="absolute">
    <xdr:from>
      <xdr:col>0</xdr:col>
      <xdr:colOff>0</xdr:colOff>
      <xdr:row>8</xdr:row>
      <xdr:rowOff>266700</xdr:rowOff>
    </xdr:from>
    <xdr:to>
      <xdr:col>2</xdr:col>
      <xdr:colOff>9524</xdr:colOff>
      <xdr:row>10</xdr:row>
      <xdr:rowOff>238125</xdr:rowOff>
    </xdr:to>
    <xdr:sp macro="" textlink="">
      <xdr:nvSpPr>
        <xdr:cNvPr id="5" name="Retângulo: Cantos Arredondado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839C93F-36CA-4857-8E97-770FBDD6C3FB}"/>
            </a:ext>
          </a:extLst>
        </xdr:cNvPr>
        <xdr:cNvSpPr/>
      </xdr:nvSpPr>
      <xdr:spPr>
        <a:xfrm>
          <a:off x="0" y="3143250"/>
          <a:ext cx="1990724" cy="438150"/>
        </a:xfrm>
        <a:prstGeom prst="roundRect">
          <a:avLst>
            <a:gd name="adj" fmla="val 0"/>
          </a:avLst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>
                  <a:lumMod val="95000"/>
                </a:schemeClr>
              </a:solidFill>
              <a:latin typeface="Arial Nova Cond" panose="020B0506020202020204" pitchFamily="34" charset="0"/>
            </a:rPr>
            <a:t>Optativas</a:t>
          </a:r>
        </a:p>
      </xdr:txBody>
    </xdr:sp>
    <xdr:clientData/>
  </xdr:twoCellAnchor>
  <xdr:twoCellAnchor editAs="absolute">
    <xdr:from>
      <xdr:col>0</xdr:col>
      <xdr:colOff>0</xdr:colOff>
      <xdr:row>10</xdr:row>
      <xdr:rowOff>304800</xdr:rowOff>
    </xdr:from>
    <xdr:to>
      <xdr:col>2</xdr:col>
      <xdr:colOff>9524</xdr:colOff>
      <xdr:row>12</xdr:row>
      <xdr:rowOff>38100</xdr:rowOff>
    </xdr:to>
    <xdr:sp macro="" textlink="">
      <xdr:nvSpPr>
        <xdr:cNvPr id="6" name="Retângulo: Cantos Arredondado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D0448A4-28DE-433E-91BD-C94294E45704}"/>
            </a:ext>
          </a:extLst>
        </xdr:cNvPr>
        <xdr:cNvSpPr/>
      </xdr:nvSpPr>
      <xdr:spPr>
        <a:xfrm>
          <a:off x="0" y="3648075"/>
          <a:ext cx="1990724" cy="438150"/>
        </a:xfrm>
        <a:prstGeom prst="roundRect">
          <a:avLst>
            <a:gd name="adj" fmla="val 0"/>
          </a:avLst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>
                  <a:lumMod val="95000"/>
                </a:schemeClr>
              </a:solidFill>
              <a:latin typeface="Arial Nova Cond" panose="020B0506020202020204" pitchFamily="34" charset="0"/>
            </a:rPr>
            <a:t>Poscomp</a:t>
          </a:r>
        </a:p>
      </xdr:txBody>
    </xdr:sp>
    <xdr:clientData/>
  </xdr:twoCellAnchor>
  <xdr:twoCellAnchor editAs="absolute">
    <xdr:from>
      <xdr:col>2</xdr:col>
      <xdr:colOff>9526</xdr:colOff>
      <xdr:row>0</xdr:row>
      <xdr:rowOff>0</xdr:rowOff>
    </xdr:from>
    <xdr:to>
      <xdr:col>2</xdr:col>
      <xdr:colOff>1269526</xdr:colOff>
      <xdr:row>1</xdr:row>
      <xdr:rowOff>9525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7855FCCF-EF90-41D0-8AB4-B668D8482B04}"/>
            </a:ext>
          </a:extLst>
        </xdr:cNvPr>
        <xdr:cNvSpPr/>
      </xdr:nvSpPr>
      <xdr:spPr>
        <a:xfrm>
          <a:off x="1990726" y="0"/>
          <a:ext cx="1260000" cy="4191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  <a:latin typeface="Arial Nova Cond" panose="020B0506020202020204" pitchFamily="34" charset="0"/>
            </a:rPr>
            <a:t>1º Período</a:t>
          </a:r>
        </a:p>
      </xdr:txBody>
    </xdr:sp>
    <xdr:clientData/>
  </xdr:twoCellAnchor>
  <xdr:twoCellAnchor editAs="absolute">
    <xdr:from>
      <xdr:col>2</xdr:col>
      <xdr:colOff>1268017</xdr:colOff>
      <xdr:row>0</xdr:row>
      <xdr:rowOff>0</xdr:rowOff>
    </xdr:from>
    <xdr:to>
      <xdr:col>3</xdr:col>
      <xdr:colOff>1108792</xdr:colOff>
      <xdr:row>1</xdr:row>
      <xdr:rowOff>9525</xdr:rowOff>
    </xdr:to>
    <xdr:sp macro="" textlink="">
      <xdr:nvSpPr>
        <xdr:cNvPr id="8" name="Retângulo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C4DD308-7658-4B9B-A5FF-64B9EAE36AD7}"/>
            </a:ext>
          </a:extLst>
        </xdr:cNvPr>
        <xdr:cNvSpPr/>
      </xdr:nvSpPr>
      <xdr:spPr>
        <a:xfrm>
          <a:off x="3249217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2º Período</a:t>
          </a:r>
        </a:p>
      </xdr:txBody>
    </xdr:sp>
    <xdr:clientData/>
  </xdr:twoCellAnchor>
  <xdr:twoCellAnchor editAs="absolute">
    <xdr:from>
      <xdr:col>3</xdr:col>
      <xdr:colOff>1107283</xdr:colOff>
      <xdr:row>0</xdr:row>
      <xdr:rowOff>0</xdr:rowOff>
    </xdr:from>
    <xdr:to>
      <xdr:col>4</xdr:col>
      <xdr:colOff>948058</xdr:colOff>
      <xdr:row>1</xdr:row>
      <xdr:rowOff>9525</xdr:rowOff>
    </xdr:to>
    <xdr:sp macro="" textlink="">
      <xdr:nvSpPr>
        <xdr:cNvPr id="9" name="Retângulo 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7163DE5-8710-44AA-8C9E-A32213B05594}"/>
            </a:ext>
          </a:extLst>
        </xdr:cNvPr>
        <xdr:cNvSpPr/>
      </xdr:nvSpPr>
      <xdr:spPr>
        <a:xfrm>
          <a:off x="4507708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3º Período</a:t>
          </a:r>
        </a:p>
      </xdr:txBody>
    </xdr:sp>
    <xdr:clientData/>
  </xdr:twoCellAnchor>
  <xdr:twoCellAnchor editAs="absolute">
    <xdr:from>
      <xdr:col>4</xdr:col>
      <xdr:colOff>946549</xdr:colOff>
      <xdr:row>0</xdr:row>
      <xdr:rowOff>0</xdr:rowOff>
    </xdr:from>
    <xdr:to>
      <xdr:col>5</xdr:col>
      <xdr:colOff>787324</xdr:colOff>
      <xdr:row>1</xdr:row>
      <xdr:rowOff>9525</xdr:rowOff>
    </xdr:to>
    <xdr:sp macro="" textlink="">
      <xdr:nvSpPr>
        <xdr:cNvPr id="10" name="Retângulo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45886C5-18E6-408E-A0F4-C07718EA71EC}"/>
            </a:ext>
          </a:extLst>
        </xdr:cNvPr>
        <xdr:cNvSpPr/>
      </xdr:nvSpPr>
      <xdr:spPr>
        <a:xfrm>
          <a:off x="5766199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4º Período</a:t>
          </a:r>
        </a:p>
      </xdr:txBody>
    </xdr:sp>
    <xdr:clientData/>
  </xdr:twoCellAnchor>
  <xdr:twoCellAnchor editAs="absolute">
    <xdr:from>
      <xdr:col>5</xdr:col>
      <xdr:colOff>785815</xdr:colOff>
      <xdr:row>0</xdr:row>
      <xdr:rowOff>0</xdr:rowOff>
    </xdr:from>
    <xdr:to>
      <xdr:col>6</xdr:col>
      <xdr:colOff>626590</xdr:colOff>
      <xdr:row>1</xdr:row>
      <xdr:rowOff>9525</xdr:rowOff>
    </xdr:to>
    <xdr:sp macro="" textlink="">
      <xdr:nvSpPr>
        <xdr:cNvPr id="11" name="Retângul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672E627B-2EF1-4147-8C96-B438317DAE68}"/>
            </a:ext>
          </a:extLst>
        </xdr:cNvPr>
        <xdr:cNvSpPr/>
      </xdr:nvSpPr>
      <xdr:spPr>
        <a:xfrm>
          <a:off x="7024690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5º Período</a:t>
          </a:r>
        </a:p>
      </xdr:txBody>
    </xdr:sp>
    <xdr:clientData/>
  </xdr:twoCellAnchor>
  <xdr:twoCellAnchor editAs="absolute">
    <xdr:from>
      <xdr:col>6</xdr:col>
      <xdr:colOff>625081</xdr:colOff>
      <xdr:row>0</xdr:row>
      <xdr:rowOff>0</xdr:rowOff>
    </xdr:from>
    <xdr:to>
      <xdr:col>7</xdr:col>
      <xdr:colOff>465856</xdr:colOff>
      <xdr:row>1</xdr:row>
      <xdr:rowOff>9525</xdr:rowOff>
    </xdr:to>
    <xdr:sp macro="" textlink="">
      <xdr:nvSpPr>
        <xdr:cNvPr id="12" name="Retângulo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A650A6B-5830-4810-97A0-5AB2376D0F2D}"/>
            </a:ext>
          </a:extLst>
        </xdr:cNvPr>
        <xdr:cNvSpPr/>
      </xdr:nvSpPr>
      <xdr:spPr>
        <a:xfrm>
          <a:off x="8283181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6º Período</a:t>
          </a:r>
        </a:p>
      </xdr:txBody>
    </xdr:sp>
    <xdr:clientData/>
  </xdr:twoCellAnchor>
  <xdr:twoCellAnchor editAs="absolute">
    <xdr:from>
      <xdr:col>7</xdr:col>
      <xdr:colOff>464347</xdr:colOff>
      <xdr:row>0</xdr:row>
      <xdr:rowOff>0</xdr:rowOff>
    </xdr:from>
    <xdr:to>
      <xdr:col>8</xdr:col>
      <xdr:colOff>305122</xdr:colOff>
      <xdr:row>1</xdr:row>
      <xdr:rowOff>9525</xdr:rowOff>
    </xdr:to>
    <xdr:sp macro="" textlink="">
      <xdr:nvSpPr>
        <xdr:cNvPr id="13" name="Retângulo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207C22-81D7-4352-9224-2E8B91318D96}"/>
            </a:ext>
          </a:extLst>
        </xdr:cNvPr>
        <xdr:cNvSpPr/>
      </xdr:nvSpPr>
      <xdr:spPr>
        <a:xfrm>
          <a:off x="9541672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7º Período</a:t>
          </a:r>
        </a:p>
      </xdr:txBody>
    </xdr:sp>
    <xdr:clientData/>
  </xdr:twoCellAnchor>
  <xdr:twoCellAnchor editAs="absolute">
    <xdr:from>
      <xdr:col>8</xdr:col>
      <xdr:colOff>303613</xdr:colOff>
      <xdr:row>0</xdr:row>
      <xdr:rowOff>0</xdr:rowOff>
    </xdr:from>
    <xdr:to>
      <xdr:col>9</xdr:col>
      <xdr:colOff>144388</xdr:colOff>
      <xdr:row>1</xdr:row>
      <xdr:rowOff>9525</xdr:rowOff>
    </xdr:to>
    <xdr:sp macro="" textlink="">
      <xdr:nvSpPr>
        <xdr:cNvPr id="14" name="Retângulo 1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ECDD112-084C-4B7A-A023-CCB57867222A}"/>
            </a:ext>
          </a:extLst>
        </xdr:cNvPr>
        <xdr:cNvSpPr/>
      </xdr:nvSpPr>
      <xdr:spPr>
        <a:xfrm>
          <a:off x="10800163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8º Período</a:t>
          </a:r>
        </a:p>
      </xdr:txBody>
    </xdr:sp>
    <xdr:clientData/>
  </xdr:twoCellAnchor>
  <xdr:twoCellAnchor editAs="absolute">
    <xdr:from>
      <xdr:col>9</xdr:col>
      <xdr:colOff>142876</xdr:colOff>
      <xdr:row>0</xdr:row>
      <xdr:rowOff>0</xdr:rowOff>
    </xdr:from>
    <xdr:to>
      <xdr:col>9</xdr:col>
      <xdr:colOff>1402876</xdr:colOff>
      <xdr:row>1</xdr:row>
      <xdr:rowOff>9525</xdr:rowOff>
    </xdr:to>
    <xdr:sp macro="" textlink="">
      <xdr:nvSpPr>
        <xdr:cNvPr id="15" name="Retângulo 1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D2FBFED7-58DD-4558-B3EF-95E1D68707AF}"/>
            </a:ext>
          </a:extLst>
        </xdr:cNvPr>
        <xdr:cNvSpPr/>
      </xdr:nvSpPr>
      <xdr:spPr>
        <a:xfrm>
          <a:off x="12058651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9º Período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352425</xdr:rowOff>
    </xdr:from>
    <xdr:to>
      <xdr:col>2</xdr:col>
      <xdr:colOff>9524</xdr:colOff>
      <xdr:row>2</xdr:row>
      <xdr:rowOff>28575</xdr:rowOff>
    </xdr:to>
    <xdr:sp macro="[0]!import_csv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EC90426-DF62-4439-A2AD-42EC745AC6F8}"/>
            </a:ext>
          </a:extLst>
        </xdr:cNvPr>
        <xdr:cNvSpPr/>
      </xdr:nvSpPr>
      <xdr:spPr>
        <a:xfrm>
          <a:off x="0" y="352425"/>
          <a:ext cx="1990724" cy="438150"/>
        </a:xfrm>
        <a:prstGeom prst="roundRect">
          <a:avLst>
            <a:gd name="adj" fmla="val 0"/>
          </a:avLst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tx1"/>
              </a:solidFill>
              <a:latin typeface="Arial Nova Cond" panose="020B0506020202020204" pitchFamily="34" charset="0"/>
            </a:rPr>
            <a:t>GERAR</a:t>
          </a:r>
          <a:r>
            <a:rPr lang="pt-BR" sz="1400" baseline="0">
              <a:solidFill>
                <a:schemeClr val="tx1"/>
              </a:solidFill>
              <a:latin typeface="Arial Nova Cond" panose="020B0506020202020204" pitchFamily="34" charset="0"/>
            </a:rPr>
            <a:t> TABELAS</a:t>
          </a:r>
          <a:endParaRPr lang="pt-BR" sz="1400">
            <a:solidFill>
              <a:schemeClr val="tx1"/>
            </a:solidFill>
            <a:latin typeface="Arial Nova Cond" panose="020B0506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5</xdr:row>
      <xdr:rowOff>314325</xdr:rowOff>
    </xdr:from>
    <xdr:to>
      <xdr:col>2</xdr:col>
      <xdr:colOff>9524</xdr:colOff>
      <xdr:row>7</xdr:row>
      <xdr:rowOff>47625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DB766E7-DEBD-4DA3-B233-E7BF9241EABD}"/>
            </a:ext>
          </a:extLst>
        </xdr:cNvPr>
        <xdr:cNvSpPr/>
      </xdr:nvSpPr>
      <xdr:spPr>
        <a:xfrm>
          <a:off x="0" y="2133600"/>
          <a:ext cx="1990724" cy="438150"/>
        </a:xfrm>
        <a:prstGeom prst="roundRect">
          <a:avLst>
            <a:gd name="adj" fmla="val 0"/>
          </a:avLst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/>
              </a:solidFill>
              <a:latin typeface="Arial Nova Cond" panose="020B0506020202020204" pitchFamily="34" charset="0"/>
            </a:rPr>
            <a:t>CCO</a:t>
          </a:r>
        </a:p>
      </xdr:txBody>
    </xdr:sp>
    <xdr:clientData/>
  </xdr:twoCellAnchor>
  <xdr:twoCellAnchor editAs="absolute">
    <xdr:from>
      <xdr:col>0</xdr:col>
      <xdr:colOff>0</xdr:colOff>
      <xdr:row>7</xdr:row>
      <xdr:rowOff>114300</xdr:rowOff>
    </xdr:from>
    <xdr:to>
      <xdr:col>2</xdr:col>
      <xdr:colOff>9524</xdr:colOff>
      <xdr:row>8</xdr:row>
      <xdr:rowOff>200025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34D6281-D87C-4E5C-86DC-8FCA3DD7868B}"/>
            </a:ext>
          </a:extLst>
        </xdr:cNvPr>
        <xdr:cNvSpPr/>
      </xdr:nvSpPr>
      <xdr:spPr>
        <a:xfrm>
          <a:off x="0" y="2638425"/>
          <a:ext cx="1990724" cy="438150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tx1"/>
              </a:solidFill>
              <a:latin typeface="Arial Nova Cond" panose="020B0506020202020204" pitchFamily="34" charset="0"/>
            </a:rPr>
            <a:t>SIN</a:t>
          </a:r>
        </a:p>
      </xdr:txBody>
    </xdr:sp>
    <xdr:clientData/>
  </xdr:twoCellAnchor>
  <xdr:twoCellAnchor editAs="absolute">
    <xdr:from>
      <xdr:col>0</xdr:col>
      <xdr:colOff>0</xdr:colOff>
      <xdr:row>8</xdr:row>
      <xdr:rowOff>266700</xdr:rowOff>
    </xdr:from>
    <xdr:to>
      <xdr:col>2</xdr:col>
      <xdr:colOff>9524</xdr:colOff>
      <xdr:row>10</xdr:row>
      <xdr:rowOff>238125</xdr:rowOff>
    </xdr:to>
    <xdr:sp macro="" textlink="">
      <xdr:nvSpPr>
        <xdr:cNvPr id="5" name="Retângulo: Cantos Arredondado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C306068-FB76-4DCD-A236-DA6244DE9950}"/>
            </a:ext>
          </a:extLst>
        </xdr:cNvPr>
        <xdr:cNvSpPr/>
      </xdr:nvSpPr>
      <xdr:spPr>
        <a:xfrm>
          <a:off x="0" y="3143250"/>
          <a:ext cx="1990724" cy="438150"/>
        </a:xfrm>
        <a:prstGeom prst="roundRect">
          <a:avLst>
            <a:gd name="adj" fmla="val 0"/>
          </a:avLst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>
                  <a:lumMod val="95000"/>
                </a:schemeClr>
              </a:solidFill>
              <a:latin typeface="Arial Nova Cond" panose="020B0506020202020204" pitchFamily="34" charset="0"/>
            </a:rPr>
            <a:t>Optativas</a:t>
          </a:r>
        </a:p>
      </xdr:txBody>
    </xdr:sp>
    <xdr:clientData/>
  </xdr:twoCellAnchor>
  <xdr:twoCellAnchor editAs="absolute">
    <xdr:from>
      <xdr:col>0</xdr:col>
      <xdr:colOff>0</xdr:colOff>
      <xdr:row>10</xdr:row>
      <xdr:rowOff>304800</xdr:rowOff>
    </xdr:from>
    <xdr:to>
      <xdr:col>2</xdr:col>
      <xdr:colOff>9524</xdr:colOff>
      <xdr:row>12</xdr:row>
      <xdr:rowOff>38100</xdr:rowOff>
    </xdr:to>
    <xdr:sp macro="" textlink="">
      <xdr:nvSpPr>
        <xdr:cNvPr id="6" name="Retângulo: Cantos Arredondado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1FE9FCE-B786-4971-BADA-90F553265651}"/>
            </a:ext>
          </a:extLst>
        </xdr:cNvPr>
        <xdr:cNvSpPr/>
      </xdr:nvSpPr>
      <xdr:spPr>
        <a:xfrm>
          <a:off x="0" y="3648075"/>
          <a:ext cx="1990724" cy="438150"/>
        </a:xfrm>
        <a:prstGeom prst="roundRect">
          <a:avLst>
            <a:gd name="adj" fmla="val 0"/>
          </a:avLst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>
                  <a:lumMod val="95000"/>
                </a:schemeClr>
              </a:solidFill>
              <a:latin typeface="Arial Nova Cond" panose="020B0506020202020204" pitchFamily="34" charset="0"/>
            </a:rPr>
            <a:t>Poscomp</a:t>
          </a:r>
        </a:p>
      </xdr:txBody>
    </xdr:sp>
    <xdr:clientData/>
  </xdr:twoCellAnchor>
  <xdr:twoCellAnchor editAs="absolute">
    <xdr:from>
      <xdr:col>2</xdr:col>
      <xdr:colOff>9526</xdr:colOff>
      <xdr:row>0</xdr:row>
      <xdr:rowOff>0</xdr:rowOff>
    </xdr:from>
    <xdr:to>
      <xdr:col>2</xdr:col>
      <xdr:colOff>1269526</xdr:colOff>
      <xdr:row>1</xdr:row>
      <xdr:rowOff>9525</xdr:rowOff>
    </xdr:to>
    <xdr:sp macro="" textlink="">
      <xdr:nvSpPr>
        <xdr:cNvPr id="7" name="Retângul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B0ACE17-9B64-48CE-8B7B-3A0F3E02C4CA}"/>
            </a:ext>
          </a:extLst>
        </xdr:cNvPr>
        <xdr:cNvSpPr/>
      </xdr:nvSpPr>
      <xdr:spPr>
        <a:xfrm>
          <a:off x="1990726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>
              <a:solidFill>
                <a:schemeClr val="bg1"/>
              </a:solidFill>
              <a:latin typeface="Arial Nova Cond" panose="020B0506020202020204" pitchFamily="34" charset="0"/>
            </a:rPr>
            <a:t>1º Período</a:t>
          </a:r>
        </a:p>
      </xdr:txBody>
    </xdr:sp>
    <xdr:clientData/>
  </xdr:twoCellAnchor>
  <xdr:twoCellAnchor editAs="absolute">
    <xdr:from>
      <xdr:col>2</xdr:col>
      <xdr:colOff>1268017</xdr:colOff>
      <xdr:row>0</xdr:row>
      <xdr:rowOff>0</xdr:rowOff>
    </xdr:from>
    <xdr:to>
      <xdr:col>3</xdr:col>
      <xdr:colOff>1108792</xdr:colOff>
      <xdr:row>1</xdr:row>
      <xdr:rowOff>9525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E2CB342D-F05C-443C-8EF9-926CEFBAA366}"/>
            </a:ext>
          </a:extLst>
        </xdr:cNvPr>
        <xdr:cNvSpPr/>
      </xdr:nvSpPr>
      <xdr:spPr>
        <a:xfrm>
          <a:off x="3249217" y="0"/>
          <a:ext cx="1260000" cy="4191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  <a:latin typeface="Arial Nova Cond" panose="020B0506020202020204" pitchFamily="34" charset="0"/>
            </a:rPr>
            <a:t>2º Período</a:t>
          </a:r>
        </a:p>
      </xdr:txBody>
    </xdr:sp>
    <xdr:clientData/>
  </xdr:twoCellAnchor>
  <xdr:twoCellAnchor editAs="absolute">
    <xdr:from>
      <xdr:col>3</xdr:col>
      <xdr:colOff>1107283</xdr:colOff>
      <xdr:row>0</xdr:row>
      <xdr:rowOff>0</xdr:rowOff>
    </xdr:from>
    <xdr:to>
      <xdr:col>4</xdr:col>
      <xdr:colOff>948058</xdr:colOff>
      <xdr:row>1</xdr:row>
      <xdr:rowOff>9525</xdr:rowOff>
    </xdr:to>
    <xdr:sp macro="" textlink="">
      <xdr:nvSpPr>
        <xdr:cNvPr id="9" name="Retângulo 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0D9E198-E819-40CB-9673-C62330A4509C}"/>
            </a:ext>
          </a:extLst>
        </xdr:cNvPr>
        <xdr:cNvSpPr/>
      </xdr:nvSpPr>
      <xdr:spPr>
        <a:xfrm>
          <a:off x="4507708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3º Período</a:t>
          </a:r>
        </a:p>
      </xdr:txBody>
    </xdr:sp>
    <xdr:clientData/>
  </xdr:twoCellAnchor>
  <xdr:twoCellAnchor editAs="absolute">
    <xdr:from>
      <xdr:col>4</xdr:col>
      <xdr:colOff>946549</xdr:colOff>
      <xdr:row>0</xdr:row>
      <xdr:rowOff>0</xdr:rowOff>
    </xdr:from>
    <xdr:to>
      <xdr:col>5</xdr:col>
      <xdr:colOff>787324</xdr:colOff>
      <xdr:row>1</xdr:row>
      <xdr:rowOff>9525</xdr:rowOff>
    </xdr:to>
    <xdr:sp macro="" textlink="">
      <xdr:nvSpPr>
        <xdr:cNvPr id="10" name="Retângulo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CDFD3A64-9153-4E1E-B81F-5EA8F01DE01B}"/>
            </a:ext>
          </a:extLst>
        </xdr:cNvPr>
        <xdr:cNvSpPr/>
      </xdr:nvSpPr>
      <xdr:spPr>
        <a:xfrm>
          <a:off x="5766199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4º Período</a:t>
          </a:r>
        </a:p>
      </xdr:txBody>
    </xdr:sp>
    <xdr:clientData/>
  </xdr:twoCellAnchor>
  <xdr:twoCellAnchor editAs="absolute">
    <xdr:from>
      <xdr:col>5</xdr:col>
      <xdr:colOff>785815</xdr:colOff>
      <xdr:row>0</xdr:row>
      <xdr:rowOff>0</xdr:rowOff>
    </xdr:from>
    <xdr:to>
      <xdr:col>6</xdr:col>
      <xdr:colOff>626590</xdr:colOff>
      <xdr:row>1</xdr:row>
      <xdr:rowOff>9525</xdr:rowOff>
    </xdr:to>
    <xdr:sp macro="" textlink="">
      <xdr:nvSpPr>
        <xdr:cNvPr id="11" name="Retângul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A5FC527D-B68D-443D-800F-0BA87CBD8D4B}"/>
            </a:ext>
          </a:extLst>
        </xdr:cNvPr>
        <xdr:cNvSpPr/>
      </xdr:nvSpPr>
      <xdr:spPr>
        <a:xfrm>
          <a:off x="7024690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5º Período</a:t>
          </a:r>
        </a:p>
      </xdr:txBody>
    </xdr:sp>
    <xdr:clientData/>
  </xdr:twoCellAnchor>
  <xdr:twoCellAnchor editAs="absolute">
    <xdr:from>
      <xdr:col>6</xdr:col>
      <xdr:colOff>625081</xdr:colOff>
      <xdr:row>0</xdr:row>
      <xdr:rowOff>0</xdr:rowOff>
    </xdr:from>
    <xdr:to>
      <xdr:col>7</xdr:col>
      <xdr:colOff>465856</xdr:colOff>
      <xdr:row>1</xdr:row>
      <xdr:rowOff>9525</xdr:rowOff>
    </xdr:to>
    <xdr:sp macro="" textlink="">
      <xdr:nvSpPr>
        <xdr:cNvPr id="12" name="Retângulo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D35B77DB-CBCB-441B-85DE-2454275300CE}"/>
            </a:ext>
          </a:extLst>
        </xdr:cNvPr>
        <xdr:cNvSpPr/>
      </xdr:nvSpPr>
      <xdr:spPr>
        <a:xfrm>
          <a:off x="8283181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6º Período</a:t>
          </a:r>
        </a:p>
      </xdr:txBody>
    </xdr:sp>
    <xdr:clientData/>
  </xdr:twoCellAnchor>
  <xdr:twoCellAnchor editAs="absolute">
    <xdr:from>
      <xdr:col>7</xdr:col>
      <xdr:colOff>464347</xdr:colOff>
      <xdr:row>0</xdr:row>
      <xdr:rowOff>0</xdr:rowOff>
    </xdr:from>
    <xdr:to>
      <xdr:col>8</xdr:col>
      <xdr:colOff>305122</xdr:colOff>
      <xdr:row>1</xdr:row>
      <xdr:rowOff>9525</xdr:rowOff>
    </xdr:to>
    <xdr:sp macro="" textlink="">
      <xdr:nvSpPr>
        <xdr:cNvPr id="13" name="Retângulo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4550CC94-7118-40D6-A49E-B866FED27B19}"/>
            </a:ext>
          </a:extLst>
        </xdr:cNvPr>
        <xdr:cNvSpPr/>
      </xdr:nvSpPr>
      <xdr:spPr>
        <a:xfrm>
          <a:off x="9541672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7º Período</a:t>
          </a:r>
        </a:p>
      </xdr:txBody>
    </xdr:sp>
    <xdr:clientData/>
  </xdr:twoCellAnchor>
  <xdr:twoCellAnchor editAs="absolute">
    <xdr:from>
      <xdr:col>8</xdr:col>
      <xdr:colOff>303613</xdr:colOff>
      <xdr:row>0</xdr:row>
      <xdr:rowOff>0</xdr:rowOff>
    </xdr:from>
    <xdr:to>
      <xdr:col>9</xdr:col>
      <xdr:colOff>144388</xdr:colOff>
      <xdr:row>1</xdr:row>
      <xdr:rowOff>9525</xdr:rowOff>
    </xdr:to>
    <xdr:sp macro="" textlink="">
      <xdr:nvSpPr>
        <xdr:cNvPr id="14" name="Retângulo 1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5A01989-0729-435B-9041-FEB5D3C764D6}"/>
            </a:ext>
          </a:extLst>
        </xdr:cNvPr>
        <xdr:cNvSpPr/>
      </xdr:nvSpPr>
      <xdr:spPr>
        <a:xfrm>
          <a:off x="10800163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8º Período</a:t>
          </a:r>
        </a:p>
      </xdr:txBody>
    </xdr:sp>
    <xdr:clientData/>
  </xdr:twoCellAnchor>
  <xdr:twoCellAnchor editAs="absolute">
    <xdr:from>
      <xdr:col>9</xdr:col>
      <xdr:colOff>142876</xdr:colOff>
      <xdr:row>0</xdr:row>
      <xdr:rowOff>0</xdr:rowOff>
    </xdr:from>
    <xdr:to>
      <xdr:col>9</xdr:col>
      <xdr:colOff>1402876</xdr:colOff>
      <xdr:row>1</xdr:row>
      <xdr:rowOff>9525</xdr:rowOff>
    </xdr:to>
    <xdr:sp macro="" textlink="">
      <xdr:nvSpPr>
        <xdr:cNvPr id="15" name="Retângulo 1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AD5C2D62-C746-42F7-92F5-5FDAC17C11CD}"/>
            </a:ext>
          </a:extLst>
        </xdr:cNvPr>
        <xdr:cNvSpPr/>
      </xdr:nvSpPr>
      <xdr:spPr>
        <a:xfrm>
          <a:off x="12058651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9º Período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352425</xdr:rowOff>
    </xdr:from>
    <xdr:to>
      <xdr:col>2</xdr:col>
      <xdr:colOff>9524</xdr:colOff>
      <xdr:row>2</xdr:row>
      <xdr:rowOff>28575</xdr:rowOff>
    </xdr:to>
    <xdr:sp macro="[0]!import_csv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FDD5A7C-4F0C-49AA-BBAF-FEFB81C96354}"/>
            </a:ext>
          </a:extLst>
        </xdr:cNvPr>
        <xdr:cNvSpPr/>
      </xdr:nvSpPr>
      <xdr:spPr>
        <a:xfrm>
          <a:off x="0" y="352425"/>
          <a:ext cx="1990724" cy="438150"/>
        </a:xfrm>
        <a:prstGeom prst="roundRect">
          <a:avLst>
            <a:gd name="adj" fmla="val 0"/>
          </a:avLst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tx1"/>
              </a:solidFill>
              <a:latin typeface="Arial Nova Cond" panose="020B0506020202020204" pitchFamily="34" charset="0"/>
            </a:rPr>
            <a:t>GERAR</a:t>
          </a:r>
          <a:r>
            <a:rPr lang="pt-BR" sz="1400" baseline="0">
              <a:solidFill>
                <a:schemeClr val="tx1"/>
              </a:solidFill>
              <a:latin typeface="Arial Nova Cond" panose="020B0506020202020204" pitchFamily="34" charset="0"/>
            </a:rPr>
            <a:t> TABELAS</a:t>
          </a:r>
          <a:endParaRPr lang="pt-BR" sz="1400">
            <a:solidFill>
              <a:schemeClr val="tx1"/>
            </a:solidFill>
            <a:latin typeface="Arial Nova Cond" panose="020B0506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5</xdr:row>
      <xdr:rowOff>314325</xdr:rowOff>
    </xdr:from>
    <xdr:to>
      <xdr:col>2</xdr:col>
      <xdr:colOff>9524</xdr:colOff>
      <xdr:row>7</xdr:row>
      <xdr:rowOff>47625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B9337F-A397-478F-BB2B-B295A7557713}"/>
            </a:ext>
          </a:extLst>
        </xdr:cNvPr>
        <xdr:cNvSpPr/>
      </xdr:nvSpPr>
      <xdr:spPr>
        <a:xfrm>
          <a:off x="0" y="2133600"/>
          <a:ext cx="1990724" cy="438150"/>
        </a:xfrm>
        <a:prstGeom prst="roundRect">
          <a:avLst>
            <a:gd name="adj" fmla="val 0"/>
          </a:avLst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/>
              </a:solidFill>
              <a:latin typeface="Arial Nova Cond" panose="020B0506020202020204" pitchFamily="34" charset="0"/>
            </a:rPr>
            <a:t>CCO</a:t>
          </a:r>
        </a:p>
      </xdr:txBody>
    </xdr:sp>
    <xdr:clientData/>
  </xdr:twoCellAnchor>
  <xdr:twoCellAnchor editAs="absolute">
    <xdr:from>
      <xdr:col>0</xdr:col>
      <xdr:colOff>0</xdr:colOff>
      <xdr:row>7</xdr:row>
      <xdr:rowOff>114300</xdr:rowOff>
    </xdr:from>
    <xdr:to>
      <xdr:col>2</xdr:col>
      <xdr:colOff>9524</xdr:colOff>
      <xdr:row>8</xdr:row>
      <xdr:rowOff>200025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8B9ADF1A-557B-47C6-939E-2A97CA97D6D2}"/>
            </a:ext>
          </a:extLst>
        </xdr:cNvPr>
        <xdr:cNvSpPr/>
      </xdr:nvSpPr>
      <xdr:spPr>
        <a:xfrm>
          <a:off x="0" y="2638425"/>
          <a:ext cx="1990724" cy="438150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tx1"/>
              </a:solidFill>
              <a:latin typeface="Arial Nova Cond" panose="020B0506020202020204" pitchFamily="34" charset="0"/>
            </a:rPr>
            <a:t>SIN</a:t>
          </a:r>
        </a:p>
      </xdr:txBody>
    </xdr:sp>
    <xdr:clientData/>
  </xdr:twoCellAnchor>
  <xdr:twoCellAnchor editAs="absolute">
    <xdr:from>
      <xdr:col>0</xdr:col>
      <xdr:colOff>0</xdr:colOff>
      <xdr:row>8</xdr:row>
      <xdr:rowOff>266700</xdr:rowOff>
    </xdr:from>
    <xdr:to>
      <xdr:col>2</xdr:col>
      <xdr:colOff>9524</xdr:colOff>
      <xdr:row>10</xdr:row>
      <xdr:rowOff>238125</xdr:rowOff>
    </xdr:to>
    <xdr:sp macro="" textlink="">
      <xdr:nvSpPr>
        <xdr:cNvPr id="5" name="Retângulo: Cantos Arredondado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43074A5-4A31-4FD4-956F-152E3CCDA89E}"/>
            </a:ext>
          </a:extLst>
        </xdr:cNvPr>
        <xdr:cNvSpPr/>
      </xdr:nvSpPr>
      <xdr:spPr>
        <a:xfrm>
          <a:off x="0" y="3143250"/>
          <a:ext cx="1990724" cy="438150"/>
        </a:xfrm>
        <a:prstGeom prst="roundRect">
          <a:avLst>
            <a:gd name="adj" fmla="val 0"/>
          </a:avLst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>
                  <a:lumMod val="95000"/>
                </a:schemeClr>
              </a:solidFill>
              <a:latin typeface="Arial Nova Cond" panose="020B0506020202020204" pitchFamily="34" charset="0"/>
            </a:rPr>
            <a:t>Optativas</a:t>
          </a:r>
        </a:p>
      </xdr:txBody>
    </xdr:sp>
    <xdr:clientData/>
  </xdr:twoCellAnchor>
  <xdr:twoCellAnchor editAs="absolute">
    <xdr:from>
      <xdr:col>0</xdr:col>
      <xdr:colOff>0</xdr:colOff>
      <xdr:row>10</xdr:row>
      <xdr:rowOff>304800</xdr:rowOff>
    </xdr:from>
    <xdr:to>
      <xdr:col>2</xdr:col>
      <xdr:colOff>9524</xdr:colOff>
      <xdr:row>12</xdr:row>
      <xdr:rowOff>38100</xdr:rowOff>
    </xdr:to>
    <xdr:sp macro="" textlink="">
      <xdr:nvSpPr>
        <xdr:cNvPr id="6" name="Retângulo: Cantos Arredondado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7F9493B-72DF-4F6C-9D71-841FD8D0C22E}"/>
            </a:ext>
          </a:extLst>
        </xdr:cNvPr>
        <xdr:cNvSpPr/>
      </xdr:nvSpPr>
      <xdr:spPr>
        <a:xfrm>
          <a:off x="0" y="3648075"/>
          <a:ext cx="1990724" cy="438150"/>
        </a:xfrm>
        <a:prstGeom prst="roundRect">
          <a:avLst>
            <a:gd name="adj" fmla="val 0"/>
          </a:avLst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>
                  <a:lumMod val="95000"/>
                </a:schemeClr>
              </a:solidFill>
              <a:latin typeface="Arial Nova Cond" panose="020B0506020202020204" pitchFamily="34" charset="0"/>
            </a:rPr>
            <a:t>Poscomp</a:t>
          </a:r>
        </a:p>
      </xdr:txBody>
    </xdr:sp>
    <xdr:clientData/>
  </xdr:twoCellAnchor>
  <xdr:twoCellAnchor editAs="absolute">
    <xdr:from>
      <xdr:col>2</xdr:col>
      <xdr:colOff>9526</xdr:colOff>
      <xdr:row>0</xdr:row>
      <xdr:rowOff>0</xdr:rowOff>
    </xdr:from>
    <xdr:to>
      <xdr:col>2</xdr:col>
      <xdr:colOff>1269526</xdr:colOff>
      <xdr:row>1</xdr:row>
      <xdr:rowOff>9525</xdr:rowOff>
    </xdr:to>
    <xdr:sp macro="" textlink="">
      <xdr:nvSpPr>
        <xdr:cNvPr id="7" name="Retângul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213A2D2-7D7E-4CA5-AE08-8D2B052819B4}"/>
            </a:ext>
          </a:extLst>
        </xdr:cNvPr>
        <xdr:cNvSpPr/>
      </xdr:nvSpPr>
      <xdr:spPr>
        <a:xfrm>
          <a:off x="1990726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>
              <a:solidFill>
                <a:schemeClr val="bg1"/>
              </a:solidFill>
              <a:latin typeface="Arial Nova Cond" panose="020B0506020202020204" pitchFamily="34" charset="0"/>
            </a:rPr>
            <a:t>1º Período</a:t>
          </a:r>
        </a:p>
      </xdr:txBody>
    </xdr:sp>
    <xdr:clientData/>
  </xdr:twoCellAnchor>
  <xdr:twoCellAnchor editAs="absolute">
    <xdr:from>
      <xdr:col>2</xdr:col>
      <xdr:colOff>1268017</xdr:colOff>
      <xdr:row>0</xdr:row>
      <xdr:rowOff>0</xdr:rowOff>
    </xdr:from>
    <xdr:to>
      <xdr:col>3</xdr:col>
      <xdr:colOff>1108792</xdr:colOff>
      <xdr:row>1</xdr:row>
      <xdr:rowOff>9525</xdr:rowOff>
    </xdr:to>
    <xdr:sp macro="" textlink="">
      <xdr:nvSpPr>
        <xdr:cNvPr id="8" name="Retângulo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E4DF4FE-861C-45EE-A6BC-BF39D5AE692E}"/>
            </a:ext>
          </a:extLst>
        </xdr:cNvPr>
        <xdr:cNvSpPr/>
      </xdr:nvSpPr>
      <xdr:spPr>
        <a:xfrm>
          <a:off x="3249217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2º Período</a:t>
          </a:r>
        </a:p>
      </xdr:txBody>
    </xdr:sp>
    <xdr:clientData/>
  </xdr:twoCellAnchor>
  <xdr:twoCellAnchor editAs="absolute">
    <xdr:from>
      <xdr:col>3</xdr:col>
      <xdr:colOff>1107283</xdr:colOff>
      <xdr:row>0</xdr:row>
      <xdr:rowOff>0</xdr:rowOff>
    </xdr:from>
    <xdr:to>
      <xdr:col>4</xdr:col>
      <xdr:colOff>948058</xdr:colOff>
      <xdr:row>1</xdr:row>
      <xdr:rowOff>9525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48AA0EF5-02DC-4F1B-A7B4-864C96664F13}"/>
            </a:ext>
          </a:extLst>
        </xdr:cNvPr>
        <xdr:cNvSpPr/>
      </xdr:nvSpPr>
      <xdr:spPr>
        <a:xfrm>
          <a:off x="4507708" y="0"/>
          <a:ext cx="1260000" cy="4191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  <a:latin typeface="Arial Nova Cond" panose="020B0506020202020204" pitchFamily="34" charset="0"/>
            </a:rPr>
            <a:t>3º Período</a:t>
          </a:r>
        </a:p>
      </xdr:txBody>
    </xdr:sp>
    <xdr:clientData/>
  </xdr:twoCellAnchor>
  <xdr:twoCellAnchor editAs="absolute">
    <xdr:from>
      <xdr:col>4</xdr:col>
      <xdr:colOff>946549</xdr:colOff>
      <xdr:row>0</xdr:row>
      <xdr:rowOff>0</xdr:rowOff>
    </xdr:from>
    <xdr:to>
      <xdr:col>5</xdr:col>
      <xdr:colOff>787324</xdr:colOff>
      <xdr:row>1</xdr:row>
      <xdr:rowOff>9525</xdr:rowOff>
    </xdr:to>
    <xdr:sp macro="" textlink="">
      <xdr:nvSpPr>
        <xdr:cNvPr id="10" name="Retângulo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83704464-2F63-488D-9958-A18B8D851633}"/>
            </a:ext>
          </a:extLst>
        </xdr:cNvPr>
        <xdr:cNvSpPr/>
      </xdr:nvSpPr>
      <xdr:spPr>
        <a:xfrm>
          <a:off x="5766199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4º Período</a:t>
          </a:r>
        </a:p>
      </xdr:txBody>
    </xdr:sp>
    <xdr:clientData/>
  </xdr:twoCellAnchor>
  <xdr:twoCellAnchor editAs="absolute">
    <xdr:from>
      <xdr:col>5</xdr:col>
      <xdr:colOff>785815</xdr:colOff>
      <xdr:row>0</xdr:row>
      <xdr:rowOff>0</xdr:rowOff>
    </xdr:from>
    <xdr:to>
      <xdr:col>6</xdr:col>
      <xdr:colOff>626590</xdr:colOff>
      <xdr:row>1</xdr:row>
      <xdr:rowOff>9525</xdr:rowOff>
    </xdr:to>
    <xdr:sp macro="" textlink="">
      <xdr:nvSpPr>
        <xdr:cNvPr id="11" name="Retângul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A367F68-497A-477E-8B10-1128BFCDD828}"/>
            </a:ext>
          </a:extLst>
        </xdr:cNvPr>
        <xdr:cNvSpPr/>
      </xdr:nvSpPr>
      <xdr:spPr>
        <a:xfrm>
          <a:off x="7024690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5º Período</a:t>
          </a:r>
        </a:p>
      </xdr:txBody>
    </xdr:sp>
    <xdr:clientData/>
  </xdr:twoCellAnchor>
  <xdr:twoCellAnchor editAs="absolute">
    <xdr:from>
      <xdr:col>6</xdr:col>
      <xdr:colOff>625081</xdr:colOff>
      <xdr:row>0</xdr:row>
      <xdr:rowOff>0</xdr:rowOff>
    </xdr:from>
    <xdr:to>
      <xdr:col>7</xdr:col>
      <xdr:colOff>465856</xdr:colOff>
      <xdr:row>1</xdr:row>
      <xdr:rowOff>9525</xdr:rowOff>
    </xdr:to>
    <xdr:sp macro="" textlink="">
      <xdr:nvSpPr>
        <xdr:cNvPr id="12" name="Retângulo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4669596-FCB5-4B59-8F0B-2F43A60DDA50}"/>
            </a:ext>
          </a:extLst>
        </xdr:cNvPr>
        <xdr:cNvSpPr/>
      </xdr:nvSpPr>
      <xdr:spPr>
        <a:xfrm>
          <a:off x="8283181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6º Período</a:t>
          </a:r>
        </a:p>
      </xdr:txBody>
    </xdr:sp>
    <xdr:clientData/>
  </xdr:twoCellAnchor>
  <xdr:twoCellAnchor editAs="absolute">
    <xdr:from>
      <xdr:col>7</xdr:col>
      <xdr:colOff>464347</xdr:colOff>
      <xdr:row>0</xdr:row>
      <xdr:rowOff>0</xdr:rowOff>
    </xdr:from>
    <xdr:to>
      <xdr:col>8</xdr:col>
      <xdr:colOff>305122</xdr:colOff>
      <xdr:row>1</xdr:row>
      <xdr:rowOff>9525</xdr:rowOff>
    </xdr:to>
    <xdr:sp macro="" textlink="">
      <xdr:nvSpPr>
        <xdr:cNvPr id="13" name="Retângulo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38E6ED55-0E82-412D-BDE2-250F6B58EB4E}"/>
            </a:ext>
          </a:extLst>
        </xdr:cNvPr>
        <xdr:cNvSpPr/>
      </xdr:nvSpPr>
      <xdr:spPr>
        <a:xfrm>
          <a:off x="9541672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7º Período</a:t>
          </a:r>
        </a:p>
      </xdr:txBody>
    </xdr:sp>
    <xdr:clientData/>
  </xdr:twoCellAnchor>
  <xdr:twoCellAnchor editAs="absolute">
    <xdr:from>
      <xdr:col>8</xdr:col>
      <xdr:colOff>303613</xdr:colOff>
      <xdr:row>0</xdr:row>
      <xdr:rowOff>0</xdr:rowOff>
    </xdr:from>
    <xdr:to>
      <xdr:col>9</xdr:col>
      <xdr:colOff>144388</xdr:colOff>
      <xdr:row>1</xdr:row>
      <xdr:rowOff>9525</xdr:rowOff>
    </xdr:to>
    <xdr:sp macro="" textlink="">
      <xdr:nvSpPr>
        <xdr:cNvPr id="14" name="Retângulo 1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DB67AE3D-4B48-42A9-B9DE-BE9ADF03D070}"/>
            </a:ext>
          </a:extLst>
        </xdr:cNvPr>
        <xdr:cNvSpPr/>
      </xdr:nvSpPr>
      <xdr:spPr>
        <a:xfrm>
          <a:off x="10800163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8º Período</a:t>
          </a:r>
        </a:p>
      </xdr:txBody>
    </xdr:sp>
    <xdr:clientData/>
  </xdr:twoCellAnchor>
  <xdr:twoCellAnchor editAs="absolute">
    <xdr:from>
      <xdr:col>9</xdr:col>
      <xdr:colOff>142876</xdr:colOff>
      <xdr:row>0</xdr:row>
      <xdr:rowOff>0</xdr:rowOff>
    </xdr:from>
    <xdr:to>
      <xdr:col>9</xdr:col>
      <xdr:colOff>1402876</xdr:colOff>
      <xdr:row>1</xdr:row>
      <xdr:rowOff>9525</xdr:rowOff>
    </xdr:to>
    <xdr:sp macro="" textlink="">
      <xdr:nvSpPr>
        <xdr:cNvPr id="15" name="Retângulo 1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2803B4BE-3A3E-4A96-840F-702825B96E3D}"/>
            </a:ext>
          </a:extLst>
        </xdr:cNvPr>
        <xdr:cNvSpPr/>
      </xdr:nvSpPr>
      <xdr:spPr>
        <a:xfrm>
          <a:off x="12058651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9º Período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352425</xdr:rowOff>
    </xdr:from>
    <xdr:to>
      <xdr:col>2</xdr:col>
      <xdr:colOff>9524</xdr:colOff>
      <xdr:row>2</xdr:row>
      <xdr:rowOff>28575</xdr:rowOff>
    </xdr:to>
    <xdr:sp macro="[0]!import_csv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6414F19-A1AB-4F34-8356-18C055662B43}"/>
            </a:ext>
          </a:extLst>
        </xdr:cNvPr>
        <xdr:cNvSpPr/>
      </xdr:nvSpPr>
      <xdr:spPr>
        <a:xfrm>
          <a:off x="0" y="352425"/>
          <a:ext cx="1990724" cy="438150"/>
        </a:xfrm>
        <a:prstGeom prst="roundRect">
          <a:avLst>
            <a:gd name="adj" fmla="val 0"/>
          </a:avLst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tx1"/>
              </a:solidFill>
              <a:latin typeface="Arial Nova Cond" panose="020B0506020202020204" pitchFamily="34" charset="0"/>
            </a:rPr>
            <a:t>GERAR</a:t>
          </a:r>
          <a:r>
            <a:rPr lang="pt-BR" sz="1400" baseline="0">
              <a:solidFill>
                <a:schemeClr val="tx1"/>
              </a:solidFill>
              <a:latin typeface="Arial Nova Cond" panose="020B0506020202020204" pitchFamily="34" charset="0"/>
            </a:rPr>
            <a:t> TABELAS</a:t>
          </a:r>
          <a:endParaRPr lang="pt-BR" sz="1400">
            <a:solidFill>
              <a:schemeClr val="tx1"/>
            </a:solidFill>
            <a:latin typeface="Arial Nova Cond" panose="020B0506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5</xdr:row>
      <xdr:rowOff>314325</xdr:rowOff>
    </xdr:from>
    <xdr:to>
      <xdr:col>2</xdr:col>
      <xdr:colOff>9524</xdr:colOff>
      <xdr:row>7</xdr:row>
      <xdr:rowOff>47625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8FE8606-25F8-46F1-9A96-CD6C53E2752E}"/>
            </a:ext>
          </a:extLst>
        </xdr:cNvPr>
        <xdr:cNvSpPr/>
      </xdr:nvSpPr>
      <xdr:spPr>
        <a:xfrm>
          <a:off x="0" y="2133600"/>
          <a:ext cx="1990724" cy="438150"/>
        </a:xfrm>
        <a:prstGeom prst="roundRect">
          <a:avLst>
            <a:gd name="adj" fmla="val 0"/>
          </a:avLst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/>
              </a:solidFill>
              <a:latin typeface="Arial Nova Cond" panose="020B0506020202020204" pitchFamily="34" charset="0"/>
            </a:rPr>
            <a:t>CCO</a:t>
          </a:r>
        </a:p>
      </xdr:txBody>
    </xdr:sp>
    <xdr:clientData/>
  </xdr:twoCellAnchor>
  <xdr:twoCellAnchor editAs="absolute">
    <xdr:from>
      <xdr:col>0</xdr:col>
      <xdr:colOff>0</xdr:colOff>
      <xdr:row>7</xdr:row>
      <xdr:rowOff>114300</xdr:rowOff>
    </xdr:from>
    <xdr:to>
      <xdr:col>2</xdr:col>
      <xdr:colOff>9524</xdr:colOff>
      <xdr:row>8</xdr:row>
      <xdr:rowOff>200025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9DA019EF-38E4-4DB1-AACA-53A48E249570}"/>
            </a:ext>
          </a:extLst>
        </xdr:cNvPr>
        <xdr:cNvSpPr/>
      </xdr:nvSpPr>
      <xdr:spPr>
        <a:xfrm>
          <a:off x="0" y="2638425"/>
          <a:ext cx="1990724" cy="438150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tx1"/>
              </a:solidFill>
              <a:latin typeface="Arial Nova Cond" panose="020B0506020202020204" pitchFamily="34" charset="0"/>
            </a:rPr>
            <a:t>SIN</a:t>
          </a:r>
        </a:p>
      </xdr:txBody>
    </xdr:sp>
    <xdr:clientData/>
  </xdr:twoCellAnchor>
  <xdr:twoCellAnchor editAs="absolute">
    <xdr:from>
      <xdr:col>0</xdr:col>
      <xdr:colOff>0</xdr:colOff>
      <xdr:row>8</xdr:row>
      <xdr:rowOff>266700</xdr:rowOff>
    </xdr:from>
    <xdr:to>
      <xdr:col>2</xdr:col>
      <xdr:colOff>9524</xdr:colOff>
      <xdr:row>10</xdr:row>
      <xdr:rowOff>238125</xdr:rowOff>
    </xdr:to>
    <xdr:sp macro="" textlink="">
      <xdr:nvSpPr>
        <xdr:cNvPr id="5" name="Retângulo: Cantos Arredondado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825DF99-94D9-489D-81E0-A97F2F929247}"/>
            </a:ext>
          </a:extLst>
        </xdr:cNvPr>
        <xdr:cNvSpPr/>
      </xdr:nvSpPr>
      <xdr:spPr>
        <a:xfrm>
          <a:off x="0" y="3143250"/>
          <a:ext cx="1990724" cy="438150"/>
        </a:xfrm>
        <a:prstGeom prst="roundRect">
          <a:avLst>
            <a:gd name="adj" fmla="val 0"/>
          </a:avLst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>
                  <a:lumMod val="95000"/>
                </a:schemeClr>
              </a:solidFill>
              <a:latin typeface="Arial Nova Cond" panose="020B0506020202020204" pitchFamily="34" charset="0"/>
            </a:rPr>
            <a:t>Optativas</a:t>
          </a:r>
        </a:p>
      </xdr:txBody>
    </xdr:sp>
    <xdr:clientData/>
  </xdr:twoCellAnchor>
  <xdr:twoCellAnchor editAs="absolute">
    <xdr:from>
      <xdr:col>0</xdr:col>
      <xdr:colOff>0</xdr:colOff>
      <xdr:row>10</xdr:row>
      <xdr:rowOff>304800</xdr:rowOff>
    </xdr:from>
    <xdr:to>
      <xdr:col>2</xdr:col>
      <xdr:colOff>9524</xdr:colOff>
      <xdr:row>12</xdr:row>
      <xdr:rowOff>38100</xdr:rowOff>
    </xdr:to>
    <xdr:sp macro="" textlink="">
      <xdr:nvSpPr>
        <xdr:cNvPr id="6" name="Retângulo: Cantos Arredondado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E20C20B-2D61-4BD7-8F22-2A12095B5591}"/>
            </a:ext>
          </a:extLst>
        </xdr:cNvPr>
        <xdr:cNvSpPr/>
      </xdr:nvSpPr>
      <xdr:spPr>
        <a:xfrm>
          <a:off x="0" y="3648075"/>
          <a:ext cx="1990724" cy="438150"/>
        </a:xfrm>
        <a:prstGeom prst="roundRect">
          <a:avLst>
            <a:gd name="adj" fmla="val 0"/>
          </a:avLst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>
                  <a:lumMod val="95000"/>
                </a:schemeClr>
              </a:solidFill>
              <a:latin typeface="Arial Nova Cond" panose="020B0506020202020204" pitchFamily="34" charset="0"/>
            </a:rPr>
            <a:t>Poscomp</a:t>
          </a:r>
        </a:p>
      </xdr:txBody>
    </xdr:sp>
    <xdr:clientData/>
  </xdr:twoCellAnchor>
  <xdr:twoCellAnchor editAs="absolute">
    <xdr:from>
      <xdr:col>2</xdr:col>
      <xdr:colOff>9526</xdr:colOff>
      <xdr:row>0</xdr:row>
      <xdr:rowOff>0</xdr:rowOff>
    </xdr:from>
    <xdr:to>
      <xdr:col>2</xdr:col>
      <xdr:colOff>1269526</xdr:colOff>
      <xdr:row>1</xdr:row>
      <xdr:rowOff>9525</xdr:rowOff>
    </xdr:to>
    <xdr:sp macro="" textlink="">
      <xdr:nvSpPr>
        <xdr:cNvPr id="7" name="Retângul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9EA62A8-D2B3-4FCA-BF91-DEE2760E12E2}"/>
            </a:ext>
          </a:extLst>
        </xdr:cNvPr>
        <xdr:cNvSpPr/>
      </xdr:nvSpPr>
      <xdr:spPr>
        <a:xfrm>
          <a:off x="1990726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>
              <a:solidFill>
                <a:schemeClr val="bg1"/>
              </a:solidFill>
              <a:latin typeface="Arial Nova Cond" panose="020B0506020202020204" pitchFamily="34" charset="0"/>
            </a:rPr>
            <a:t>1º Período</a:t>
          </a:r>
        </a:p>
      </xdr:txBody>
    </xdr:sp>
    <xdr:clientData/>
  </xdr:twoCellAnchor>
  <xdr:twoCellAnchor editAs="absolute">
    <xdr:from>
      <xdr:col>2</xdr:col>
      <xdr:colOff>1268017</xdr:colOff>
      <xdr:row>0</xdr:row>
      <xdr:rowOff>0</xdr:rowOff>
    </xdr:from>
    <xdr:to>
      <xdr:col>3</xdr:col>
      <xdr:colOff>1108792</xdr:colOff>
      <xdr:row>1</xdr:row>
      <xdr:rowOff>9525</xdr:rowOff>
    </xdr:to>
    <xdr:sp macro="" textlink="">
      <xdr:nvSpPr>
        <xdr:cNvPr id="8" name="Retângulo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6DF1DA1-E773-4364-A721-32C575043FF4}"/>
            </a:ext>
          </a:extLst>
        </xdr:cNvPr>
        <xdr:cNvSpPr/>
      </xdr:nvSpPr>
      <xdr:spPr>
        <a:xfrm>
          <a:off x="3249217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2º Período</a:t>
          </a:r>
        </a:p>
      </xdr:txBody>
    </xdr:sp>
    <xdr:clientData/>
  </xdr:twoCellAnchor>
  <xdr:twoCellAnchor editAs="absolute">
    <xdr:from>
      <xdr:col>3</xdr:col>
      <xdr:colOff>1107283</xdr:colOff>
      <xdr:row>0</xdr:row>
      <xdr:rowOff>0</xdr:rowOff>
    </xdr:from>
    <xdr:to>
      <xdr:col>4</xdr:col>
      <xdr:colOff>948058</xdr:colOff>
      <xdr:row>1</xdr:row>
      <xdr:rowOff>9525</xdr:rowOff>
    </xdr:to>
    <xdr:sp macro="" textlink="">
      <xdr:nvSpPr>
        <xdr:cNvPr id="9" name="Retângulo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43FDA95F-9A2A-43E1-9145-21E1ED180BD2}"/>
            </a:ext>
          </a:extLst>
        </xdr:cNvPr>
        <xdr:cNvSpPr/>
      </xdr:nvSpPr>
      <xdr:spPr>
        <a:xfrm>
          <a:off x="4507708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3º Período</a:t>
          </a:r>
        </a:p>
      </xdr:txBody>
    </xdr:sp>
    <xdr:clientData/>
  </xdr:twoCellAnchor>
  <xdr:twoCellAnchor editAs="absolute">
    <xdr:from>
      <xdr:col>4</xdr:col>
      <xdr:colOff>946549</xdr:colOff>
      <xdr:row>0</xdr:row>
      <xdr:rowOff>0</xdr:rowOff>
    </xdr:from>
    <xdr:to>
      <xdr:col>5</xdr:col>
      <xdr:colOff>787324</xdr:colOff>
      <xdr:row>1</xdr:row>
      <xdr:rowOff>9525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B704AADA-F031-43E2-9EDF-9541E05372AF}"/>
            </a:ext>
          </a:extLst>
        </xdr:cNvPr>
        <xdr:cNvSpPr/>
      </xdr:nvSpPr>
      <xdr:spPr>
        <a:xfrm>
          <a:off x="5766199" y="0"/>
          <a:ext cx="1260000" cy="4191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  <a:latin typeface="Arial Nova Cond" panose="020B0506020202020204" pitchFamily="34" charset="0"/>
            </a:rPr>
            <a:t>4º Período</a:t>
          </a:r>
        </a:p>
      </xdr:txBody>
    </xdr:sp>
    <xdr:clientData/>
  </xdr:twoCellAnchor>
  <xdr:twoCellAnchor editAs="absolute">
    <xdr:from>
      <xdr:col>5</xdr:col>
      <xdr:colOff>785815</xdr:colOff>
      <xdr:row>0</xdr:row>
      <xdr:rowOff>0</xdr:rowOff>
    </xdr:from>
    <xdr:to>
      <xdr:col>6</xdr:col>
      <xdr:colOff>626590</xdr:colOff>
      <xdr:row>1</xdr:row>
      <xdr:rowOff>9525</xdr:rowOff>
    </xdr:to>
    <xdr:sp macro="" textlink="">
      <xdr:nvSpPr>
        <xdr:cNvPr id="11" name="Retângul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FF196A8-11FD-4290-9825-9EB41B7F9373}"/>
            </a:ext>
          </a:extLst>
        </xdr:cNvPr>
        <xdr:cNvSpPr/>
      </xdr:nvSpPr>
      <xdr:spPr>
        <a:xfrm>
          <a:off x="7024690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5º Período</a:t>
          </a:r>
        </a:p>
      </xdr:txBody>
    </xdr:sp>
    <xdr:clientData/>
  </xdr:twoCellAnchor>
  <xdr:twoCellAnchor editAs="absolute">
    <xdr:from>
      <xdr:col>6</xdr:col>
      <xdr:colOff>625081</xdr:colOff>
      <xdr:row>0</xdr:row>
      <xdr:rowOff>0</xdr:rowOff>
    </xdr:from>
    <xdr:to>
      <xdr:col>7</xdr:col>
      <xdr:colOff>465856</xdr:colOff>
      <xdr:row>1</xdr:row>
      <xdr:rowOff>9525</xdr:rowOff>
    </xdr:to>
    <xdr:sp macro="" textlink="">
      <xdr:nvSpPr>
        <xdr:cNvPr id="12" name="Retângulo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5CAF5DB8-846D-44C7-85B0-BD926D3F54E5}"/>
            </a:ext>
          </a:extLst>
        </xdr:cNvPr>
        <xdr:cNvSpPr/>
      </xdr:nvSpPr>
      <xdr:spPr>
        <a:xfrm>
          <a:off x="8283181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6º Período</a:t>
          </a:r>
        </a:p>
      </xdr:txBody>
    </xdr:sp>
    <xdr:clientData/>
  </xdr:twoCellAnchor>
  <xdr:twoCellAnchor editAs="absolute">
    <xdr:from>
      <xdr:col>7</xdr:col>
      <xdr:colOff>464347</xdr:colOff>
      <xdr:row>0</xdr:row>
      <xdr:rowOff>0</xdr:rowOff>
    </xdr:from>
    <xdr:to>
      <xdr:col>8</xdr:col>
      <xdr:colOff>305122</xdr:colOff>
      <xdr:row>1</xdr:row>
      <xdr:rowOff>9525</xdr:rowOff>
    </xdr:to>
    <xdr:sp macro="" textlink="">
      <xdr:nvSpPr>
        <xdr:cNvPr id="13" name="Retângulo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3DDD222-FDAE-450B-AB93-D9EA3FEBD997}"/>
            </a:ext>
          </a:extLst>
        </xdr:cNvPr>
        <xdr:cNvSpPr/>
      </xdr:nvSpPr>
      <xdr:spPr>
        <a:xfrm>
          <a:off x="9541672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7º Período</a:t>
          </a:r>
        </a:p>
      </xdr:txBody>
    </xdr:sp>
    <xdr:clientData/>
  </xdr:twoCellAnchor>
  <xdr:twoCellAnchor editAs="absolute">
    <xdr:from>
      <xdr:col>8</xdr:col>
      <xdr:colOff>303613</xdr:colOff>
      <xdr:row>0</xdr:row>
      <xdr:rowOff>0</xdr:rowOff>
    </xdr:from>
    <xdr:to>
      <xdr:col>9</xdr:col>
      <xdr:colOff>144388</xdr:colOff>
      <xdr:row>1</xdr:row>
      <xdr:rowOff>9525</xdr:rowOff>
    </xdr:to>
    <xdr:sp macro="" textlink="">
      <xdr:nvSpPr>
        <xdr:cNvPr id="14" name="Retângulo 1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FCB1C722-2C1C-4513-8EF2-DF34231450D1}"/>
            </a:ext>
          </a:extLst>
        </xdr:cNvPr>
        <xdr:cNvSpPr/>
      </xdr:nvSpPr>
      <xdr:spPr>
        <a:xfrm>
          <a:off x="10800163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8º Período</a:t>
          </a:r>
        </a:p>
      </xdr:txBody>
    </xdr:sp>
    <xdr:clientData/>
  </xdr:twoCellAnchor>
  <xdr:twoCellAnchor editAs="absolute">
    <xdr:from>
      <xdr:col>9</xdr:col>
      <xdr:colOff>142876</xdr:colOff>
      <xdr:row>0</xdr:row>
      <xdr:rowOff>0</xdr:rowOff>
    </xdr:from>
    <xdr:to>
      <xdr:col>9</xdr:col>
      <xdr:colOff>1402876</xdr:colOff>
      <xdr:row>1</xdr:row>
      <xdr:rowOff>9525</xdr:rowOff>
    </xdr:to>
    <xdr:sp macro="" textlink="">
      <xdr:nvSpPr>
        <xdr:cNvPr id="15" name="Retângulo 1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96B6BF6-8368-40A2-90BB-43D3863B932F}"/>
            </a:ext>
          </a:extLst>
        </xdr:cNvPr>
        <xdr:cNvSpPr/>
      </xdr:nvSpPr>
      <xdr:spPr>
        <a:xfrm>
          <a:off x="12058651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9º Período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352425</xdr:rowOff>
    </xdr:from>
    <xdr:to>
      <xdr:col>2</xdr:col>
      <xdr:colOff>9524</xdr:colOff>
      <xdr:row>2</xdr:row>
      <xdr:rowOff>28575</xdr:rowOff>
    </xdr:to>
    <xdr:sp macro="[0]!import_csv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BA6D0DE-56C0-4DF1-A876-24E0F48FA802}"/>
            </a:ext>
          </a:extLst>
        </xdr:cNvPr>
        <xdr:cNvSpPr/>
      </xdr:nvSpPr>
      <xdr:spPr>
        <a:xfrm>
          <a:off x="0" y="352425"/>
          <a:ext cx="1990724" cy="438150"/>
        </a:xfrm>
        <a:prstGeom prst="roundRect">
          <a:avLst>
            <a:gd name="adj" fmla="val 0"/>
          </a:avLst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tx1"/>
              </a:solidFill>
              <a:latin typeface="Arial Nova Cond" panose="020B0506020202020204" pitchFamily="34" charset="0"/>
            </a:rPr>
            <a:t>GERAR</a:t>
          </a:r>
          <a:r>
            <a:rPr lang="pt-BR" sz="1400" baseline="0">
              <a:solidFill>
                <a:schemeClr val="tx1"/>
              </a:solidFill>
              <a:latin typeface="Arial Nova Cond" panose="020B0506020202020204" pitchFamily="34" charset="0"/>
            </a:rPr>
            <a:t> TABELAS</a:t>
          </a:r>
          <a:endParaRPr lang="pt-BR" sz="1400">
            <a:solidFill>
              <a:schemeClr val="tx1"/>
            </a:solidFill>
            <a:latin typeface="Arial Nova Cond" panose="020B0506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5</xdr:row>
      <xdr:rowOff>314325</xdr:rowOff>
    </xdr:from>
    <xdr:to>
      <xdr:col>2</xdr:col>
      <xdr:colOff>9524</xdr:colOff>
      <xdr:row>7</xdr:row>
      <xdr:rowOff>47625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1F66227-DB92-4BDF-A35D-B63139AA04D7}"/>
            </a:ext>
          </a:extLst>
        </xdr:cNvPr>
        <xdr:cNvSpPr/>
      </xdr:nvSpPr>
      <xdr:spPr>
        <a:xfrm>
          <a:off x="0" y="2133600"/>
          <a:ext cx="1990724" cy="438150"/>
        </a:xfrm>
        <a:prstGeom prst="roundRect">
          <a:avLst>
            <a:gd name="adj" fmla="val 0"/>
          </a:avLst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/>
              </a:solidFill>
              <a:latin typeface="Arial Nova Cond" panose="020B0506020202020204" pitchFamily="34" charset="0"/>
            </a:rPr>
            <a:t>CCO</a:t>
          </a:r>
        </a:p>
      </xdr:txBody>
    </xdr:sp>
    <xdr:clientData/>
  </xdr:twoCellAnchor>
  <xdr:twoCellAnchor editAs="absolute">
    <xdr:from>
      <xdr:col>0</xdr:col>
      <xdr:colOff>0</xdr:colOff>
      <xdr:row>7</xdr:row>
      <xdr:rowOff>114300</xdr:rowOff>
    </xdr:from>
    <xdr:to>
      <xdr:col>2</xdr:col>
      <xdr:colOff>9524</xdr:colOff>
      <xdr:row>8</xdr:row>
      <xdr:rowOff>200025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F140C861-872F-4F0D-B186-D42A2CAA7747}"/>
            </a:ext>
          </a:extLst>
        </xdr:cNvPr>
        <xdr:cNvSpPr/>
      </xdr:nvSpPr>
      <xdr:spPr>
        <a:xfrm>
          <a:off x="0" y="2638425"/>
          <a:ext cx="1990724" cy="438150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tx1"/>
              </a:solidFill>
              <a:latin typeface="Arial Nova Cond" panose="020B0506020202020204" pitchFamily="34" charset="0"/>
            </a:rPr>
            <a:t>SIN</a:t>
          </a:r>
        </a:p>
      </xdr:txBody>
    </xdr:sp>
    <xdr:clientData/>
  </xdr:twoCellAnchor>
  <xdr:twoCellAnchor editAs="absolute">
    <xdr:from>
      <xdr:col>0</xdr:col>
      <xdr:colOff>0</xdr:colOff>
      <xdr:row>8</xdr:row>
      <xdr:rowOff>266700</xdr:rowOff>
    </xdr:from>
    <xdr:to>
      <xdr:col>2</xdr:col>
      <xdr:colOff>9524</xdr:colOff>
      <xdr:row>10</xdr:row>
      <xdr:rowOff>238125</xdr:rowOff>
    </xdr:to>
    <xdr:sp macro="" textlink="">
      <xdr:nvSpPr>
        <xdr:cNvPr id="5" name="Retângulo: Cantos Arredondado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0320684-16EE-4073-82E4-9C85ED92C12C}"/>
            </a:ext>
          </a:extLst>
        </xdr:cNvPr>
        <xdr:cNvSpPr/>
      </xdr:nvSpPr>
      <xdr:spPr>
        <a:xfrm>
          <a:off x="0" y="3143250"/>
          <a:ext cx="1990724" cy="438150"/>
        </a:xfrm>
        <a:prstGeom prst="roundRect">
          <a:avLst>
            <a:gd name="adj" fmla="val 0"/>
          </a:avLst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>
                  <a:lumMod val="95000"/>
                </a:schemeClr>
              </a:solidFill>
              <a:latin typeface="Arial Nova Cond" panose="020B0506020202020204" pitchFamily="34" charset="0"/>
            </a:rPr>
            <a:t>Optativas</a:t>
          </a:r>
        </a:p>
      </xdr:txBody>
    </xdr:sp>
    <xdr:clientData/>
  </xdr:twoCellAnchor>
  <xdr:twoCellAnchor editAs="absolute">
    <xdr:from>
      <xdr:col>0</xdr:col>
      <xdr:colOff>0</xdr:colOff>
      <xdr:row>10</xdr:row>
      <xdr:rowOff>304800</xdr:rowOff>
    </xdr:from>
    <xdr:to>
      <xdr:col>2</xdr:col>
      <xdr:colOff>9524</xdr:colOff>
      <xdr:row>12</xdr:row>
      <xdr:rowOff>38100</xdr:rowOff>
    </xdr:to>
    <xdr:sp macro="" textlink="">
      <xdr:nvSpPr>
        <xdr:cNvPr id="6" name="Retângulo: Cantos Arredondado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A7427A4-1BC3-42D5-A403-895818D0E369}"/>
            </a:ext>
          </a:extLst>
        </xdr:cNvPr>
        <xdr:cNvSpPr/>
      </xdr:nvSpPr>
      <xdr:spPr>
        <a:xfrm>
          <a:off x="0" y="3648075"/>
          <a:ext cx="1990724" cy="438150"/>
        </a:xfrm>
        <a:prstGeom prst="roundRect">
          <a:avLst>
            <a:gd name="adj" fmla="val 0"/>
          </a:avLst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>
                  <a:lumMod val="95000"/>
                </a:schemeClr>
              </a:solidFill>
              <a:latin typeface="Arial Nova Cond" panose="020B0506020202020204" pitchFamily="34" charset="0"/>
            </a:rPr>
            <a:t>Poscomp</a:t>
          </a:r>
        </a:p>
      </xdr:txBody>
    </xdr:sp>
    <xdr:clientData/>
  </xdr:twoCellAnchor>
  <xdr:twoCellAnchor editAs="absolute">
    <xdr:from>
      <xdr:col>2</xdr:col>
      <xdr:colOff>9526</xdr:colOff>
      <xdr:row>0</xdr:row>
      <xdr:rowOff>0</xdr:rowOff>
    </xdr:from>
    <xdr:to>
      <xdr:col>2</xdr:col>
      <xdr:colOff>1269526</xdr:colOff>
      <xdr:row>1</xdr:row>
      <xdr:rowOff>9525</xdr:rowOff>
    </xdr:to>
    <xdr:sp macro="" textlink="">
      <xdr:nvSpPr>
        <xdr:cNvPr id="7" name="Retângul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0628BD4-08C9-429D-9D36-016E55761134}"/>
            </a:ext>
          </a:extLst>
        </xdr:cNvPr>
        <xdr:cNvSpPr/>
      </xdr:nvSpPr>
      <xdr:spPr>
        <a:xfrm>
          <a:off x="1990726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>
              <a:solidFill>
                <a:schemeClr val="bg1"/>
              </a:solidFill>
              <a:latin typeface="Arial Nova Cond" panose="020B0506020202020204" pitchFamily="34" charset="0"/>
            </a:rPr>
            <a:t>1º Período</a:t>
          </a:r>
        </a:p>
      </xdr:txBody>
    </xdr:sp>
    <xdr:clientData/>
  </xdr:twoCellAnchor>
  <xdr:twoCellAnchor editAs="absolute">
    <xdr:from>
      <xdr:col>2</xdr:col>
      <xdr:colOff>1268017</xdr:colOff>
      <xdr:row>0</xdr:row>
      <xdr:rowOff>0</xdr:rowOff>
    </xdr:from>
    <xdr:to>
      <xdr:col>3</xdr:col>
      <xdr:colOff>1108792</xdr:colOff>
      <xdr:row>1</xdr:row>
      <xdr:rowOff>9525</xdr:rowOff>
    </xdr:to>
    <xdr:sp macro="" textlink="">
      <xdr:nvSpPr>
        <xdr:cNvPr id="8" name="Retângulo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607374D-4E81-45C4-8920-5AD83D61105E}"/>
            </a:ext>
          </a:extLst>
        </xdr:cNvPr>
        <xdr:cNvSpPr/>
      </xdr:nvSpPr>
      <xdr:spPr>
        <a:xfrm>
          <a:off x="3249217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2º Período</a:t>
          </a:r>
        </a:p>
      </xdr:txBody>
    </xdr:sp>
    <xdr:clientData/>
  </xdr:twoCellAnchor>
  <xdr:twoCellAnchor editAs="absolute">
    <xdr:from>
      <xdr:col>3</xdr:col>
      <xdr:colOff>1107283</xdr:colOff>
      <xdr:row>0</xdr:row>
      <xdr:rowOff>0</xdr:rowOff>
    </xdr:from>
    <xdr:to>
      <xdr:col>4</xdr:col>
      <xdr:colOff>948058</xdr:colOff>
      <xdr:row>1</xdr:row>
      <xdr:rowOff>9525</xdr:rowOff>
    </xdr:to>
    <xdr:sp macro="" textlink="">
      <xdr:nvSpPr>
        <xdr:cNvPr id="9" name="Retângulo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BE0389D-9EDD-4D89-AC0E-6F9D79D52A5B}"/>
            </a:ext>
          </a:extLst>
        </xdr:cNvPr>
        <xdr:cNvSpPr/>
      </xdr:nvSpPr>
      <xdr:spPr>
        <a:xfrm>
          <a:off x="4507708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3º Período</a:t>
          </a:r>
        </a:p>
      </xdr:txBody>
    </xdr:sp>
    <xdr:clientData/>
  </xdr:twoCellAnchor>
  <xdr:twoCellAnchor editAs="absolute">
    <xdr:from>
      <xdr:col>4</xdr:col>
      <xdr:colOff>946549</xdr:colOff>
      <xdr:row>0</xdr:row>
      <xdr:rowOff>0</xdr:rowOff>
    </xdr:from>
    <xdr:to>
      <xdr:col>5</xdr:col>
      <xdr:colOff>787324</xdr:colOff>
      <xdr:row>1</xdr:row>
      <xdr:rowOff>9525</xdr:rowOff>
    </xdr:to>
    <xdr:sp macro="" textlink="">
      <xdr:nvSpPr>
        <xdr:cNvPr id="10" name="Retângulo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3D405EF2-C0E4-4C45-88BA-45707F64139F}"/>
            </a:ext>
          </a:extLst>
        </xdr:cNvPr>
        <xdr:cNvSpPr/>
      </xdr:nvSpPr>
      <xdr:spPr>
        <a:xfrm>
          <a:off x="5766199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4º Período</a:t>
          </a:r>
        </a:p>
      </xdr:txBody>
    </xdr:sp>
    <xdr:clientData/>
  </xdr:twoCellAnchor>
  <xdr:twoCellAnchor editAs="absolute">
    <xdr:from>
      <xdr:col>5</xdr:col>
      <xdr:colOff>785815</xdr:colOff>
      <xdr:row>0</xdr:row>
      <xdr:rowOff>0</xdr:rowOff>
    </xdr:from>
    <xdr:to>
      <xdr:col>6</xdr:col>
      <xdr:colOff>626590</xdr:colOff>
      <xdr:row>1</xdr:row>
      <xdr:rowOff>9525</xdr:rowOff>
    </xdr:to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AFC34046-E459-4964-BA67-3454334AFDD1}"/>
            </a:ext>
          </a:extLst>
        </xdr:cNvPr>
        <xdr:cNvSpPr/>
      </xdr:nvSpPr>
      <xdr:spPr>
        <a:xfrm>
          <a:off x="7024690" y="0"/>
          <a:ext cx="1260000" cy="4191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  <a:latin typeface="Arial Nova Cond" panose="020B0506020202020204" pitchFamily="34" charset="0"/>
            </a:rPr>
            <a:t>5º Período</a:t>
          </a:r>
        </a:p>
      </xdr:txBody>
    </xdr:sp>
    <xdr:clientData/>
  </xdr:twoCellAnchor>
  <xdr:twoCellAnchor editAs="absolute">
    <xdr:from>
      <xdr:col>6</xdr:col>
      <xdr:colOff>625081</xdr:colOff>
      <xdr:row>0</xdr:row>
      <xdr:rowOff>0</xdr:rowOff>
    </xdr:from>
    <xdr:to>
      <xdr:col>7</xdr:col>
      <xdr:colOff>465856</xdr:colOff>
      <xdr:row>1</xdr:row>
      <xdr:rowOff>9525</xdr:rowOff>
    </xdr:to>
    <xdr:sp macro="" textlink="">
      <xdr:nvSpPr>
        <xdr:cNvPr id="12" name="Retângulo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89C1F426-A5FE-42A7-967B-321EEDF812F7}"/>
            </a:ext>
          </a:extLst>
        </xdr:cNvPr>
        <xdr:cNvSpPr/>
      </xdr:nvSpPr>
      <xdr:spPr>
        <a:xfrm>
          <a:off x="8283181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6º Período</a:t>
          </a:r>
        </a:p>
      </xdr:txBody>
    </xdr:sp>
    <xdr:clientData/>
  </xdr:twoCellAnchor>
  <xdr:twoCellAnchor editAs="absolute">
    <xdr:from>
      <xdr:col>7</xdr:col>
      <xdr:colOff>464347</xdr:colOff>
      <xdr:row>0</xdr:row>
      <xdr:rowOff>0</xdr:rowOff>
    </xdr:from>
    <xdr:to>
      <xdr:col>8</xdr:col>
      <xdr:colOff>305122</xdr:colOff>
      <xdr:row>1</xdr:row>
      <xdr:rowOff>9525</xdr:rowOff>
    </xdr:to>
    <xdr:sp macro="" textlink="">
      <xdr:nvSpPr>
        <xdr:cNvPr id="13" name="Retângulo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7E38E45E-3D4F-43C4-9726-F933F1D81A57}"/>
            </a:ext>
          </a:extLst>
        </xdr:cNvPr>
        <xdr:cNvSpPr/>
      </xdr:nvSpPr>
      <xdr:spPr>
        <a:xfrm>
          <a:off x="9541672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7º Período</a:t>
          </a:r>
        </a:p>
      </xdr:txBody>
    </xdr:sp>
    <xdr:clientData/>
  </xdr:twoCellAnchor>
  <xdr:twoCellAnchor editAs="absolute">
    <xdr:from>
      <xdr:col>8</xdr:col>
      <xdr:colOff>303613</xdr:colOff>
      <xdr:row>0</xdr:row>
      <xdr:rowOff>0</xdr:rowOff>
    </xdr:from>
    <xdr:to>
      <xdr:col>9</xdr:col>
      <xdr:colOff>144388</xdr:colOff>
      <xdr:row>1</xdr:row>
      <xdr:rowOff>9525</xdr:rowOff>
    </xdr:to>
    <xdr:sp macro="" textlink="">
      <xdr:nvSpPr>
        <xdr:cNvPr id="14" name="Retângulo 1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358C9CB-93B9-4B0A-B679-6AD3B38AD395}"/>
            </a:ext>
          </a:extLst>
        </xdr:cNvPr>
        <xdr:cNvSpPr/>
      </xdr:nvSpPr>
      <xdr:spPr>
        <a:xfrm>
          <a:off x="10800163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8º Período</a:t>
          </a:r>
        </a:p>
      </xdr:txBody>
    </xdr:sp>
    <xdr:clientData/>
  </xdr:twoCellAnchor>
  <xdr:twoCellAnchor editAs="absolute">
    <xdr:from>
      <xdr:col>9</xdr:col>
      <xdr:colOff>142876</xdr:colOff>
      <xdr:row>0</xdr:row>
      <xdr:rowOff>0</xdr:rowOff>
    </xdr:from>
    <xdr:to>
      <xdr:col>9</xdr:col>
      <xdr:colOff>1402876</xdr:colOff>
      <xdr:row>1</xdr:row>
      <xdr:rowOff>9525</xdr:rowOff>
    </xdr:to>
    <xdr:sp macro="" textlink="">
      <xdr:nvSpPr>
        <xdr:cNvPr id="15" name="Retângulo 1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7A2FAED-1641-452B-BA0F-DA333992DBCD}"/>
            </a:ext>
          </a:extLst>
        </xdr:cNvPr>
        <xdr:cNvSpPr/>
      </xdr:nvSpPr>
      <xdr:spPr>
        <a:xfrm>
          <a:off x="12058651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9º Período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352425</xdr:rowOff>
    </xdr:from>
    <xdr:to>
      <xdr:col>2</xdr:col>
      <xdr:colOff>9524</xdr:colOff>
      <xdr:row>2</xdr:row>
      <xdr:rowOff>28575</xdr:rowOff>
    </xdr:to>
    <xdr:sp macro="[0]!import_csv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9B8660CE-E1D4-429D-84F3-3534079FD4D8}"/>
            </a:ext>
          </a:extLst>
        </xdr:cNvPr>
        <xdr:cNvSpPr/>
      </xdr:nvSpPr>
      <xdr:spPr>
        <a:xfrm>
          <a:off x="0" y="352425"/>
          <a:ext cx="1990724" cy="438150"/>
        </a:xfrm>
        <a:prstGeom prst="roundRect">
          <a:avLst>
            <a:gd name="adj" fmla="val 0"/>
          </a:avLst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tx1"/>
              </a:solidFill>
              <a:latin typeface="Arial Nova Cond" panose="020B0506020202020204" pitchFamily="34" charset="0"/>
            </a:rPr>
            <a:t>GERAR</a:t>
          </a:r>
          <a:r>
            <a:rPr lang="pt-BR" sz="1400" baseline="0">
              <a:solidFill>
                <a:schemeClr val="tx1"/>
              </a:solidFill>
              <a:latin typeface="Arial Nova Cond" panose="020B0506020202020204" pitchFamily="34" charset="0"/>
            </a:rPr>
            <a:t> TABELAS</a:t>
          </a:r>
          <a:endParaRPr lang="pt-BR" sz="1400">
            <a:solidFill>
              <a:schemeClr val="tx1"/>
            </a:solidFill>
            <a:latin typeface="Arial Nova Cond" panose="020B0506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5</xdr:row>
      <xdr:rowOff>314325</xdr:rowOff>
    </xdr:from>
    <xdr:to>
      <xdr:col>2</xdr:col>
      <xdr:colOff>9524</xdr:colOff>
      <xdr:row>7</xdr:row>
      <xdr:rowOff>47625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7B74320-006F-4B9E-88C9-09D0F77D800A}"/>
            </a:ext>
          </a:extLst>
        </xdr:cNvPr>
        <xdr:cNvSpPr/>
      </xdr:nvSpPr>
      <xdr:spPr>
        <a:xfrm>
          <a:off x="0" y="2133600"/>
          <a:ext cx="1990724" cy="438150"/>
        </a:xfrm>
        <a:prstGeom prst="roundRect">
          <a:avLst>
            <a:gd name="adj" fmla="val 0"/>
          </a:avLst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/>
              </a:solidFill>
              <a:latin typeface="Arial Nova Cond" panose="020B0506020202020204" pitchFamily="34" charset="0"/>
            </a:rPr>
            <a:t>CCO</a:t>
          </a:r>
        </a:p>
      </xdr:txBody>
    </xdr:sp>
    <xdr:clientData/>
  </xdr:twoCellAnchor>
  <xdr:twoCellAnchor editAs="absolute">
    <xdr:from>
      <xdr:col>0</xdr:col>
      <xdr:colOff>0</xdr:colOff>
      <xdr:row>7</xdr:row>
      <xdr:rowOff>114300</xdr:rowOff>
    </xdr:from>
    <xdr:to>
      <xdr:col>2</xdr:col>
      <xdr:colOff>9524</xdr:colOff>
      <xdr:row>8</xdr:row>
      <xdr:rowOff>200025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8930A7B-8B89-4142-BFE1-F46A76B5A588}"/>
            </a:ext>
          </a:extLst>
        </xdr:cNvPr>
        <xdr:cNvSpPr/>
      </xdr:nvSpPr>
      <xdr:spPr>
        <a:xfrm>
          <a:off x="0" y="2638425"/>
          <a:ext cx="1990724" cy="438150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tx1"/>
              </a:solidFill>
              <a:latin typeface="Arial Nova Cond" panose="020B0506020202020204" pitchFamily="34" charset="0"/>
            </a:rPr>
            <a:t>SIN</a:t>
          </a:r>
        </a:p>
      </xdr:txBody>
    </xdr:sp>
    <xdr:clientData/>
  </xdr:twoCellAnchor>
  <xdr:twoCellAnchor editAs="absolute">
    <xdr:from>
      <xdr:col>0</xdr:col>
      <xdr:colOff>0</xdr:colOff>
      <xdr:row>8</xdr:row>
      <xdr:rowOff>266700</xdr:rowOff>
    </xdr:from>
    <xdr:to>
      <xdr:col>2</xdr:col>
      <xdr:colOff>9524</xdr:colOff>
      <xdr:row>10</xdr:row>
      <xdr:rowOff>238125</xdr:rowOff>
    </xdr:to>
    <xdr:sp macro="" textlink="">
      <xdr:nvSpPr>
        <xdr:cNvPr id="5" name="Retângulo: Cantos Arredondado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1538454-B533-431E-B4C6-CAC151D4C241}"/>
            </a:ext>
          </a:extLst>
        </xdr:cNvPr>
        <xdr:cNvSpPr/>
      </xdr:nvSpPr>
      <xdr:spPr>
        <a:xfrm>
          <a:off x="0" y="3143250"/>
          <a:ext cx="1990724" cy="438150"/>
        </a:xfrm>
        <a:prstGeom prst="roundRect">
          <a:avLst>
            <a:gd name="adj" fmla="val 0"/>
          </a:avLst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>
                  <a:lumMod val="95000"/>
                </a:schemeClr>
              </a:solidFill>
              <a:latin typeface="Arial Nova Cond" panose="020B0506020202020204" pitchFamily="34" charset="0"/>
            </a:rPr>
            <a:t>Optativas</a:t>
          </a:r>
        </a:p>
      </xdr:txBody>
    </xdr:sp>
    <xdr:clientData/>
  </xdr:twoCellAnchor>
  <xdr:twoCellAnchor editAs="absolute">
    <xdr:from>
      <xdr:col>0</xdr:col>
      <xdr:colOff>0</xdr:colOff>
      <xdr:row>10</xdr:row>
      <xdr:rowOff>304800</xdr:rowOff>
    </xdr:from>
    <xdr:to>
      <xdr:col>2</xdr:col>
      <xdr:colOff>9524</xdr:colOff>
      <xdr:row>12</xdr:row>
      <xdr:rowOff>38100</xdr:rowOff>
    </xdr:to>
    <xdr:sp macro="" textlink="">
      <xdr:nvSpPr>
        <xdr:cNvPr id="6" name="Retângulo: Cantos Arredondado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8257687-B31A-4878-8BBC-483FC461D2D0}"/>
            </a:ext>
          </a:extLst>
        </xdr:cNvPr>
        <xdr:cNvSpPr/>
      </xdr:nvSpPr>
      <xdr:spPr>
        <a:xfrm>
          <a:off x="0" y="3648075"/>
          <a:ext cx="1990724" cy="438150"/>
        </a:xfrm>
        <a:prstGeom prst="roundRect">
          <a:avLst>
            <a:gd name="adj" fmla="val 0"/>
          </a:avLst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>
                  <a:lumMod val="95000"/>
                </a:schemeClr>
              </a:solidFill>
              <a:latin typeface="Arial Nova Cond" panose="020B0506020202020204" pitchFamily="34" charset="0"/>
            </a:rPr>
            <a:t>Poscomp</a:t>
          </a:r>
        </a:p>
      </xdr:txBody>
    </xdr:sp>
    <xdr:clientData/>
  </xdr:twoCellAnchor>
  <xdr:twoCellAnchor editAs="absolute">
    <xdr:from>
      <xdr:col>2</xdr:col>
      <xdr:colOff>9526</xdr:colOff>
      <xdr:row>0</xdr:row>
      <xdr:rowOff>0</xdr:rowOff>
    </xdr:from>
    <xdr:to>
      <xdr:col>2</xdr:col>
      <xdr:colOff>1269526</xdr:colOff>
      <xdr:row>1</xdr:row>
      <xdr:rowOff>9525</xdr:rowOff>
    </xdr:to>
    <xdr:sp macro="" textlink="">
      <xdr:nvSpPr>
        <xdr:cNvPr id="7" name="Retângul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5A3175F-844E-4045-8A4A-F4FA5B4537EA}"/>
            </a:ext>
          </a:extLst>
        </xdr:cNvPr>
        <xdr:cNvSpPr/>
      </xdr:nvSpPr>
      <xdr:spPr>
        <a:xfrm>
          <a:off x="1990726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>
              <a:solidFill>
                <a:schemeClr val="bg1"/>
              </a:solidFill>
              <a:latin typeface="Arial Nova Cond" panose="020B0506020202020204" pitchFamily="34" charset="0"/>
            </a:rPr>
            <a:t>1º Período</a:t>
          </a:r>
        </a:p>
      </xdr:txBody>
    </xdr:sp>
    <xdr:clientData/>
  </xdr:twoCellAnchor>
  <xdr:twoCellAnchor editAs="absolute">
    <xdr:from>
      <xdr:col>2</xdr:col>
      <xdr:colOff>1268017</xdr:colOff>
      <xdr:row>0</xdr:row>
      <xdr:rowOff>0</xdr:rowOff>
    </xdr:from>
    <xdr:to>
      <xdr:col>3</xdr:col>
      <xdr:colOff>1108792</xdr:colOff>
      <xdr:row>1</xdr:row>
      <xdr:rowOff>9525</xdr:rowOff>
    </xdr:to>
    <xdr:sp macro="" textlink="">
      <xdr:nvSpPr>
        <xdr:cNvPr id="8" name="Retângulo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B267A9C-155F-4381-808E-09199908E9A1}"/>
            </a:ext>
          </a:extLst>
        </xdr:cNvPr>
        <xdr:cNvSpPr/>
      </xdr:nvSpPr>
      <xdr:spPr>
        <a:xfrm>
          <a:off x="3249217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2º Período</a:t>
          </a:r>
        </a:p>
      </xdr:txBody>
    </xdr:sp>
    <xdr:clientData/>
  </xdr:twoCellAnchor>
  <xdr:twoCellAnchor editAs="absolute">
    <xdr:from>
      <xdr:col>3</xdr:col>
      <xdr:colOff>1107283</xdr:colOff>
      <xdr:row>0</xdr:row>
      <xdr:rowOff>0</xdr:rowOff>
    </xdr:from>
    <xdr:to>
      <xdr:col>4</xdr:col>
      <xdr:colOff>948058</xdr:colOff>
      <xdr:row>1</xdr:row>
      <xdr:rowOff>9525</xdr:rowOff>
    </xdr:to>
    <xdr:sp macro="" textlink="">
      <xdr:nvSpPr>
        <xdr:cNvPr id="9" name="Retângulo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BF60C20-F7BF-42D6-9F4B-B8F39DA97D03}"/>
            </a:ext>
          </a:extLst>
        </xdr:cNvPr>
        <xdr:cNvSpPr/>
      </xdr:nvSpPr>
      <xdr:spPr>
        <a:xfrm>
          <a:off x="4507708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3º Período</a:t>
          </a:r>
        </a:p>
      </xdr:txBody>
    </xdr:sp>
    <xdr:clientData/>
  </xdr:twoCellAnchor>
  <xdr:twoCellAnchor editAs="absolute">
    <xdr:from>
      <xdr:col>4</xdr:col>
      <xdr:colOff>946549</xdr:colOff>
      <xdr:row>0</xdr:row>
      <xdr:rowOff>0</xdr:rowOff>
    </xdr:from>
    <xdr:to>
      <xdr:col>5</xdr:col>
      <xdr:colOff>787324</xdr:colOff>
      <xdr:row>1</xdr:row>
      <xdr:rowOff>9525</xdr:rowOff>
    </xdr:to>
    <xdr:sp macro="" textlink="">
      <xdr:nvSpPr>
        <xdr:cNvPr id="10" name="Retângulo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C0FEDB2A-A8B5-491E-8580-84624B29E377}"/>
            </a:ext>
          </a:extLst>
        </xdr:cNvPr>
        <xdr:cNvSpPr/>
      </xdr:nvSpPr>
      <xdr:spPr>
        <a:xfrm>
          <a:off x="5766199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4º Período</a:t>
          </a:r>
        </a:p>
      </xdr:txBody>
    </xdr:sp>
    <xdr:clientData/>
  </xdr:twoCellAnchor>
  <xdr:twoCellAnchor editAs="absolute">
    <xdr:from>
      <xdr:col>5</xdr:col>
      <xdr:colOff>785815</xdr:colOff>
      <xdr:row>0</xdr:row>
      <xdr:rowOff>0</xdr:rowOff>
    </xdr:from>
    <xdr:to>
      <xdr:col>6</xdr:col>
      <xdr:colOff>626590</xdr:colOff>
      <xdr:row>1</xdr:row>
      <xdr:rowOff>9525</xdr:rowOff>
    </xdr:to>
    <xdr:sp macro="" textlink="">
      <xdr:nvSpPr>
        <xdr:cNvPr id="11" name="Retângulo 1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73E371F-3804-4BE2-AEBE-F336767D9403}"/>
            </a:ext>
          </a:extLst>
        </xdr:cNvPr>
        <xdr:cNvSpPr/>
      </xdr:nvSpPr>
      <xdr:spPr>
        <a:xfrm>
          <a:off x="7024690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5º Período</a:t>
          </a:r>
        </a:p>
      </xdr:txBody>
    </xdr:sp>
    <xdr:clientData/>
  </xdr:twoCellAnchor>
  <xdr:twoCellAnchor editAs="absolute">
    <xdr:from>
      <xdr:col>6</xdr:col>
      <xdr:colOff>625081</xdr:colOff>
      <xdr:row>0</xdr:row>
      <xdr:rowOff>0</xdr:rowOff>
    </xdr:from>
    <xdr:to>
      <xdr:col>7</xdr:col>
      <xdr:colOff>465856</xdr:colOff>
      <xdr:row>1</xdr:row>
      <xdr:rowOff>9525</xdr:rowOff>
    </xdr:to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E7A34A62-C3EC-41B5-8E8E-86A5BAB43ED4}"/>
            </a:ext>
          </a:extLst>
        </xdr:cNvPr>
        <xdr:cNvSpPr/>
      </xdr:nvSpPr>
      <xdr:spPr>
        <a:xfrm>
          <a:off x="8283181" y="0"/>
          <a:ext cx="1260000" cy="4191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  <a:latin typeface="Arial Nova Cond" panose="020B0506020202020204" pitchFamily="34" charset="0"/>
            </a:rPr>
            <a:t>6º Período</a:t>
          </a:r>
        </a:p>
      </xdr:txBody>
    </xdr:sp>
    <xdr:clientData/>
  </xdr:twoCellAnchor>
  <xdr:twoCellAnchor editAs="absolute">
    <xdr:from>
      <xdr:col>7</xdr:col>
      <xdr:colOff>464347</xdr:colOff>
      <xdr:row>0</xdr:row>
      <xdr:rowOff>0</xdr:rowOff>
    </xdr:from>
    <xdr:to>
      <xdr:col>8</xdr:col>
      <xdr:colOff>305122</xdr:colOff>
      <xdr:row>1</xdr:row>
      <xdr:rowOff>9525</xdr:rowOff>
    </xdr:to>
    <xdr:sp macro="" textlink="">
      <xdr:nvSpPr>
        <xdr:cNvPr id="13" name="Retângulo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85E79C4-0CE2-4234-A460-2C9613E00808}"/>
            </a:ext>
          </a:extLst>
        </xdr:cNvPr>
        <xdr:cNvSpPr/>
      </xdr:nvSpPr>
      <xdr:spPr>
        <a:xfrm>
          <a:off x="9541672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7º Período</a:t>
          </a:r>
        </a:p>
      </xdr:txBody>
    </xdr:sp>
    <xdr:clientData/>
  </xdr:twoCellAnchor>
  <xdr:twoCellAnchor editAs="absolute">
    <xdr:from>
      <xdr:col>8</xdr:col>
      <xdr:colOff>303613</xdr:colOff>
      <xdr:row>0</xdr:row>
      <xdr:rowOff>0</xdr:rowOff>
    </xdr:from>
    <xdr:to>
      <xdr:col>9</xdr:col>
      <xdr:colOff>144388</xdr:colOff>
      <xdr:row>1</xdr:row>
      <xdr:rowOff>9525</xdr:rowOff>
    </xdr:to>
    <xdr:sp macro="" textlink="">
      <xdr:nvSpPr>
        <xdr:cNvPr id="14" name="Retângulo 1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7191DAE7-F7C1-4DB4-B922-FBA5727A70A3}"/>
            </a:ext>
          </a:extLst>
        </xdr:cNvPr>
        <xdr:cNvSpPr/>
      </xdr:nvSpPr>
      <xdr:spPr>
        <a:xfrm>
          <a:off x="10800163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8º Período</a:t>
          </a:r>
        </a:p>
      </xdr:txBody>
    </xdr:sp>
    <xdr:clientData/>
  </xdr:twoCellAnchor>
  <xdr:twoCellAnchor editAs="absolute">
    <xdr:from>
      <xdr:col>9</xdr:col>
      <xdr:colOff>142876</xdr:colOff>
      <xdr:row>0</xdr:row>
      <xdr:rowOff>0</xdr:rowOff>
    </xdr:from>
    <xdr:to>
      <xdr:col>9</xdr:col>
      <xdr:colOff>1402876</xdr:colOff>
      <xdr:row>1</xdr:row>
      <xdr:rowOff>9525</xdr:rowOff>
    </xdr:to>
    <xdr:sp macro="" textlink="">
      <xdr:nvSpPr>
        <xdr:cNvPr id="15" name="Retângulo 1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CB79750-7A83-4911-8AD7-74BF77FF031D}"/>
            </a:ext>
          </a:extLst>
        </xdr:cNvPr>
        <xdr:cNvSpPr/>
      </xdr:nvSpPr>
      <xdr:spPr>
        <a:xfrm>
          <a:off x="12058651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9º Período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352425</xdr:rowOff>
    </xdr:from>
    <xdr:to>
      <xdr:col>2</xdr:col>
      <xdr:colOff>9524</xdr:colOff>
      <xdr:row>2</xdr:row>
      <xdr:rowOff>28575</xdr:rowOff>
    </xdr:to>
    <xdr:sp macro="[0]!import_csv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202E97D-0ABF-4735-A162-44C8A2813622}"/>
            </a:ext>
          </a:extLst>
        </xdr:cNvPr>
        <xdr:cNvSpPr/>
      </xdr:nvSpPr>
      <xdr:spPr>
        <a:xfrm>
          <a:off x="0" y="352425"/>
          <a:ext cx="1990724" cy="438150"/>
        </a:xfrm>
        <a:prstGeom prst="roundRect">
          <a:avLst>
            <a:gd name="adj" fmla="val 0"/>
          </a:avLst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tx1"/>
              </a:solidFill>
              <a:latin typeface="Arial Nova Cond" panose="020B0506020202020204" pitchFamily="34" charset="0"/>
            </a:rPr>
            <a:t>GERAR</a:t>
          </a:r>
          <a:r>
            <a:rPr lang="pt-BR" sz="1400" baseline="0">
              <a:solidFill>
                <a:schemeClr val="tx1"/>
              </a:solidFill>
              <a:latin typeface="Arial Nova Cond" panose="020B0506020202020204" pitchFamily="34" charset="0"/>
            </a:rPr>
            <a:t> TABELAS</a:t>
          </a:r>
          <a:endParaRPr lang="pt-BR" sz="1400">
            <a:solidFill>
              <a:schemeClr val="tx1"/>
            </a:solidFill>
            <a:latin typeface="Arial Nova Cond" panose="020B0506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5</xdr:row>
      <xdr:rowOff>314325</xdr:rowOff>
    </xdr:from>
    <xdr:to>
      <xdr:col>2</xdr:col>
      <xdr:colOff>9524</xdr:colOff>
      <xdr:row>7</xdr:row>
      <xdr:rowOff>47625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F47BFF9-1991-42B2-A545-104776C9E114}"/>
            </a:ext>
          </a:extLst>
        </xdr:cNvPr>
        <xdr:cNvSpPr/>
      </xdr:nvSpPr>
      <xdr:spPr>
        <a:xfrm>
          <a:off x="0" y="2133600"/>
          <a:ext cx="1990724" cy="438150"/>
        </a:xfrm>
        <a:prstGeom prst="roundRect">
          <a:avLst>
            <a:gd name="adj" fmla="val 0"/>
          </a:avLst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/>
              </a:solidFill>
              <a:latin typeface="Arial Nova Cond" panose="020B0506020202020204" pitchFamily="34" charset="0"/>
            </a:rPr>
            <a:t>CCO</a:t>
          </a:r>
        </a:p>
      </xdr:txBody>
    </xdr:sp>
    <xdr:clientData/>
  </xdr:twoCellAnchor>
  <xdr:twoCellAnchor editAs="absolute">
    <xdr:from>
      <xdr:col>0</xdr:col>
      <xdr:colOff>0</xdr:colOff>
      <xdr:row>7</xdr:row>
      <xdr:rowOff>114300</xdr:rowOff>
    </xdr:from>
    <xdr:to>
      <xdr:col>2</xdr:col>
      <xdr:colOff>9524</xdr:colOff>
      <xdr:row>8</xdr:row>
      <xdr:rowOff>200025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F1D47AFB-FED2-4B1B-BACC-6836A17EB232}"/>
            </a:ext>
          </a:extLst>
        </xdr:cNvPr>
        <xdr:cNvSpPr/>
      </xdr:nvSpPr>
      <xdr:spPr>
        <a:xfrm>
          <a:off x="0" y="2638425"/>
          <a:ext cx="1990724" cy="438150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tx1"/>
              </a:solidFill>
              <a:latin typeface="Arial Nova Cond" panose="020B0506020202020204" pitchFamily="34" charset="0"/>
            </a:rPr>
            <a:t>SIN</a:t>
          </a:r>
        </a:p>
      </xdr:txBody>
    </xdr:sp>
    <xdr:clientData/>
  </xdr:twoCellAnchor>
  <xdr:twoCellAnchor editAs="absolute">
    <xdr:from>
      <xdr:col>0</xdr:col>
      <xdr:colOff>0</xdr:colOff>
      <xdr:row>8</xdr:row>
      <xdr:rowOff>266700</xdr:rowOff>
    </xdr:from>
    <xdr:to>
      <xdr:col>2</xdr:col>
      <xdr:colOff>9524</xdr:colOff>
      <xdr:row>10</xdr:row>
      <xdr:rowOff>238125</xdr:rowOff>
    </xdr:to>
    <xdr:sp macro="" textlink="">
      <xdr:nvSpPr>
        <xdr:cNvPr id="5" name="Retângulo: Cantos Arredondado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AA3567D-A6C5-40C8-8BD3-05C055760723}"/>
            </a:ext>
          </a:extLst>
        </xdr:cNvPr>
        <xdr:cNvSpPr/>
      </xdr:nvSpPr>
      <xdr:spPr>
        <a:xfrm>
          <a:off x="0" y="3143250"/>
          <a:ext cx="1990724" cy="438150"/>
        </a:xfrm>
        <a:prstGeom prst="roundRect">
          <a:avLst>
            <a:gd name="adj" fmla="val 0"/>
          </a:avLst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>
                  <a:lumMod val="95000"/>
                </a:schemeClr>
              </a:solidFill>
              <a:latin typeface="Arial Nova Cond" panose="020B0506020202020204" pitchFamily="34" charset="0"/>
            </a:rPr>
            <a:t>Optativas</a:t>
          </a:r>
        </a:p>
      </xdr:txBody>
    </xdr:sp>
    <xdr:clientData/>
  </xdr:twoCellAnchor>
  <xdr:twoCellAnchor editAs="absolute">
    <xdr:from>
      <xdr:col>0</xdr:col>
      <xdr:colOff>0</xdr:colOff>
      <xdr:row>10</xdr:row>
      <xdr:rowOff>304800</xdr:rowOff>
    </xdr:from>
    <xdr:to>
      <xdr:col>2</xdr:col>
      <xdr:colOff>9524</xdr:colOff>
      <xdr:row>12</xdr:row>
      <xdr:rowOff>38100</xdr:rowOff>
    </xdr:to>
    <xdr:sp macro="" textlink="">
      <xdr:nvSpPr>
        <xdr:cNvPr id="6" name="Retângulo: Cantos Arredondado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F3FFBA7-278E-4A9C-9DBA-2A52DEEA07E6}"/>
            </a:ext>
          </a:extLst>
        </xdr:cNvPr>
        <xdr:cNvSpPr/>
      </xdr:nvSpPr>
      <xdr:spPr>
        <a:xfrm>
          <a:off x="0" y="3648075"/>
          <a:ext cx="1990724" cy="438150"/>
        </a:xfrm>
        <a:prstGeom prst="roundRect">
          <a:avLst>
            <a:gd name="adj" fmla="val 0"/>
          </a:avLst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>
                  <a:lumMod val="95000"/>
                </a:schemeClr>
              </a:solidFill>
              <a:latin typeface="Arial Nova Cond" panose="020B0506020202020204" pitchFamily="34" charset="0"/>
            </a:rPr>
            <a:t>Poscomp</a:t>
          </a:r>
        </a:p>
      </xdr:txBody>
    </xdr:sp>
    <xdr:clientData/>
  </xdr:twoCellAnchor>
  <xdr:twoCellAnchor editAs="absolute">
    <xdr:from>
      <xdr:col>2</xdr:col>
      <xdr:colOff>9526</xdr:colOff>
      <xdr:row>0</xdr:row>
      <xdr:rowOff>0</xdr:rowOff>
    </xdr:from>
    <xdr:to>
      <xdr:col>2</xdr:col>
      <xdr:colOff>1269526</xdr:colOff>
      <xdr:row>1</xdr:row>
      <xdr:rowOff>9525</xdr:rowOff>
    </xdr:to>
    <xdr:sp macro="" textlink="">
      <xdr:nvSpPr>
        <xdr:cNvPr id="7" name="Retângul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1E635E6-7E2B-41BD-A27F-DC1CD08392B5}"/>
            </a:ext>
          </a:extLst>
        </xdr:cNvPr>
        <xdr:cNvSpPr/>
      </xdr:nvSpPr>
      <xdr:spPr>
        <a:xfrm>
          <a:off x="1990726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>
              <a:solidFill>
                <a:schemeClr val="bg1"/>
              </a:solidFill>
              <a:latin typeface="Arial Nova Cond" panose="020B0506020202020204" pitchFamily="34" charset="0"/>
            </a:rPr>
            <a:t>1º Período</a:t>
          </a:r>
        </a:p>
      </xdr:txBody>
    </xdr:sp>
    <xdr:clientData/>
  </xdr:twoCellAnchor>
  <xdr:twoCellAnchor editAs="absolute">
    <xdr:from>
      <xdr:col>2</xdr:col>
      <xdr:colOff>1268017</xdr:colOff>
      <xdr:row>0</xdr:row>
      <xdr:rowOff>0</xdr:rowOff>
    </xdr:from>
    <xdr:to>
      <xdr:col>3</xdr:col>
      <xdr:colOff>1108792</xdr:colOff>
      <xdr:row>1</xdr:row>
      <xdr:rowOff>9525</xdr:rowOff>
    </xdr:to>
    <xdr:sp macro="" textlink="">
      <xdr:nvSpPr>
        <xdr:cNvPr id="8" name="Retângulo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A9A6FDB-7A6B-45B6-A498-2B0CA6C8F46C}"/>
            </a:ext>
          </a:extLst>
        </xdr:cNvPr>
        <xdr:cNvSpPr/>
      </xdr:nvSpPr>
      <xdr:spPr>
        <a:xfrm>
          <a:off x="3249217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2º Período</a:t>
          </a:r>
        </a:p>
      </xdr:txBody>
    </xdr:sp>
    <xdr:clientData/>
  </xdr:twoCellAnchor>
  <xdr:twoCellAnchor editAs="absolute">
    <xdr:from>
      <xdr:col>3</xdr:col>
      <xdr:colOff>1107283</xdr:colOff>
      <xdr:row>0</xdr:row>
      <xdr:rowOff>0</xdr:rowOff>
    </xdr:from>
    <xdr:to>
      <xdr:col>4</xdr:col>
      <xdr:colOff>948058</xdr:colOff>
      <xdr:row>1</xdr:row>
      <xdr:rowOff>9525</xdr:rowOff>
    </xdr:to>
    <xdr:sp macro="" textlink="">
      <xdr:nvSpPr>
        <xdr:cNvPr id="9" name="Retângulo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41811983-90B3-4ADC-9099-98754D66A7CE}"/>
            </a:ext>
          </a:extLst>
        </xdr:cNvPr>
        <xdr:cNvSpPr/>
      </xdr:nvSpPr>
      <xdr:spPr>
        <a:xfrm>
          <a:off x="4507708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3º Período</a:t>
          </a:r>
        </a:p>
      </xdr:txBody>
    </xdr:sp>
    <xdr:clientData/>
  </xdr:twoCellAnchor>
  <xdr:twoCellAnchor editAs="absolute">
    <xdr:from>
      <xdr:col>4</xdr:col>
      <xdr:colOff>946549</xdr:colOff>
      <xdr:row>0</xdr:row>
      <xdr:rowOff>0</xdr:rowOff>
    </xdr:from>
    <xdr:to>
      <xdr:col>5</xdr:col>
      <xdr:colOff>787324</xdr:colOff>
      <xdr:row>1</xdr:row>
      <xdr:rowOff>9525</xdr:rowOff>
    </xdr:to>
    <xdr:sp macro="" textlink="">
      <xdr:nvSpPr>
        <xdr:cNvPr id="10" name="Retângulo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312BC308-F718-44F7-A617-19AAC9A9834A}"/>
            </a:ext>
          </a:extLst>
        </xdr:cNvPr>
        <xdr:cNvSpPr/>
      </xdr:nvSpPr>
      <xdr:spPr>
        <a:xfrm>
          <a:off x="5766199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4º Período</a:t>
          </a:r>
        </a:p>
      </xdr:txBody>
    </xdr:sp>
    <xdr:clientData/>
  </xdr:twoCellAnchor>
  <xdr:twoCellAnchor editAs="absolute">
    <xdr:from>
      <xdr:col>5</xdr:col>
      <xdr:colOff>785815</xdr:colOff>
      <xdr:row>0</xdr:row>
      <xdr:rowOff>0</xdr:rowOff>
    </xdr:from>
    <xdr:to>
      <xdr:col>6</xdr:col>
      <xdr:colOff>626590</xdr:colOff>
      <xdr:row>1</xdr:row>
      <xdr:rowOff>9525</xdr:rowOff>
    </xdr:to>
    <xdr:sp macro="" textlink="">
      <xdr:nvSpPr>
        <xdr:cNvPr id="11" name="Retângulo 1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8EAA6665-F1E4-4C93-B6CF-26A822A58AE1}"/>
            </a:ext>
          </a:extLst>
        </xdr:cNvPr>
        <xdr:cNvSpPr/>
      </xdr:nvSpPr>
      <xdr:spPr>
        <a:xfrm>
          <a:off x="7024690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5º Período</a:t>
          </a:r>
        </a:p>
      </xdr:txBody>
    </xdr:sp>
    <xdr:clientData/>
  </xdr:twoCellAnchor>
  <xdr:twoCellAnchor editAs="absolute">
    <xdr:from>
      <xdr:col>6</xdr:col>
      <xdr:colOff>625081</xdr:colOff>
      <xdr:row>0</xdr:row>
      <xdr:rowOff>0</xdr:rowOff>
    </xdr:from>
    <xdr:to>
      <xdr:col>7</xdr:col>
      <xdr:colOff>465856</xdr:colOff>
      <xdr:row>1</xdr:row>
      <xdr:rowOff>9525</xdr:rowOff>
    </xdr:to>
    <xdr:sp macro="" textlink="">
      <xdr:nvSpPr>
        <xdr:cNvPr id="12" name="Retângulo 1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714EBF03-E4AB-4FEE-9422-D7A178A58A86}"/>
            </a:ext>
          </a:extLst>
        </xdr:cNvPr>
        <xdr:cNvSpPr/>
      </xdr:nvSpPr>
      <xdr:spPr>
        <a:xfrm>
          <a:off x="8283181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6º Período</a:t>
          </a:r>
        </a:p>
      </xdr:txBody>
    </xdr:sp>
    <xdr:clientData/>
  </xdr:twoCellAnchor>
  <xdr:twoCellAnchor editAs="absolute">
    <xdr:from>
      <xdr:col>7</xdr:col>
      <xdr:colOff>464347</xdr:colOff>
      <xdr:row>0</xdr:row>
      <xdr:rowOff>0</xdr:rowOff>
    </xdr:from>
    <xdr:to>
      <xdr:col>8</xdr:col>
      <xdr:colOff>305122</xdr:colOff>
      <xdr:row>1</xdr:row>
      <xdr:rowOff>9525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3F51EC76-48F8-4BA8-86EA-8C6768467FF8}"/>
            </a:ext>
          </a:extLst>
        </xdr:cNvPr>
        <xdr:cNvSpPr/>
      </xdr:nvSpPr>
      <xdr:spPr>
        <a:xfrm>
          <a:off x="9541672" y="0"/>
          <a:ext cx="1260000" cy="4191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  <a:latin typeface="Arial Nova Cond" panose="020B0506020202020204" pitchFamily="34" charset="0"/>
            </a:rPr>
            <a:t>7º Período</a:t>
          </a:r>
        </a:p>
      </xdr:txBody>
    </xdr:sp>
    <xdr:clientData/>
  </xdr:twoCellAnchor>
  <xdr:twoCellAnchor editAs="absolute">
    <xdr:from>
      <xdr:col>8</xdr:col>
      <xdr:colOff>303613</xdr:colOff>
      <xdr:row>0</xdr:row>
      <xdr:rowOff>0</xdr:rowOff>
    </xdr:from>
    <xdr:to>
      <xdr:col>9</xdr:col>
      <xdr:colOff>144388</xdr:colOff>
      <xdr:row>1</xdr:row>
      <xdr:rowOff>9525</xdr:rowOff>
    </xdr:to>
    <xdr:sp macro="" textlink="">
      <xdr:nvSpPr>
        <xdr:cNvPr id="14" name="Retângulo 1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15AAEAEE-BD99-4583-80A6-4A08E911A566}"/>
            </a:ext>
          </a:extLst>
        </xdr:cNvPr>
        <xdr:cNvSpPr/>
      </xdr:nvSpPr>
      <xdr:spPr>
        <a:xfrm>
          <a:off x="10800163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8º Período</a:t>
          </a:r>
        </a:p>
      </xdr:txBody>
    </xdr:sp>
    <xdr:clientData/>
  </xdr:twoCellAnchor>
  <xdr:twoCellAnchor editAs="absolute">
    <xdr:from>
      <xdr:col>9</xdr:col>
      <xdr:colOff>142876</xdr:colOff>
      <xdr:row>0</xdr:row>
      <xdr:rowOff>0</xdr:rowOff>
    </xdr:from>
    <xdr:to>
      <xdr:col>9</xdr:col>
      <xdr:colOff>1402876</xdr:colOff>
      <xdr:row>1</xdr:row>
      <xdr:rowOff>9525</xdr:rowOff>
    </xdr:to>
    <xdr:sp macro="" textlink="">
      <xdr:nvSpPr>
        <xdr:cNvPr id="15" name="Retângulo 1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8A735CB8-DFE5-4A60-B24E-724CBBBE1523}"/>
            </a:ext>
          </a:extLst>
        </xdr:cNvPr>
        <xdr:cNvSpPr/>
      </xdr:nvSpPr>
      <xdr:spPr>
        <a:xfrm>
          <a:off x="12058651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9º Período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352425</xdr:rowOff>
    </xdr:from>
    <xdr:to>
      <xdr:col>2</xdr:col>
      <xdr:colOff>9524</xdr:colOff>
      <xdr:row>2</xdr:row>
      <xdr:rowOff>28575</xdr:rowOff>
    </xdr:to>
    <xdr:sp macro="[0]!import_csv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408068D-AEF6-43CF-B937-6E0F06A40CF4}"/>
            </a:ext>
          </a:extLst>
        </xdr:cNvPr>
        <xdr:cNvSpPr/>
      </xdr:nvSpPr>
      <xdr:spPr>
        <a:xfrm>
          <a:off x="0" y="352425"/>
          <a:ext cx="1990724" cy="438150"/>
        </a:xfrm>
        <a:prstGeom prst="roundRect">
          <a:avLst>
            <a:gd name="adj" fmla="val 0"/>
          </a:avLst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tx1"/>
              </a:solidFill>
              <a:latin typeface="Arial Nova Cond" panose="020B0506020202020204" pitchFamily="34" charset="0"/>
            </a:rPr>
            <a:t>GERAR</a:t>
          </a:r>
          <a:r>
            <a:rPr lang="pt-BR" sz="1400" baseline="0">
              <a:solidFill>
                <a:schemeClr val="tx1"/>
              </a:solidFill>
              <a:latin typeface="Arial Nova Cond" panose="020B0506020202020204" pitchFamily="34" charset="0"/>
            </a:rPr>
            <a:t> TABELAS</a:t>
          </a:r>
          <a:endParaRPr lang="pt-BR" sz="1400">
            <a:solidFill>
              <a:schemeClr val="tx1"/>
            </a:solidFill>
            <a:latin typeface="Arial Nova Cond" panose="020B0506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5</xdr:row>
      <xdr:rowOff>314325</xdr:rowOff>
    </xdr:from>
    <xdr:to>
      <xdr:col>2</xdr:col>
      <xdr:colOff>9524</xdr:colOff>
      <xdr:row>7</xdr:row>
      <xdr:rowOff>47625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6F414D8-4814-495B-BB04-A81A52A62DA5}"/>
            </a:ext>
          </a:extLst>
        </xdr:cNvPr>
        <xdr:cNvSpPr/>
      </xdr:nvSpPr>
      <xdr:spPr>
        <a:xfrm>
          <a:off x="0" y="2133600"/>
          <a:ext cx="1990724" cy="438150"/>
        </a:xfrm>
        <a:prstGeom prst="roundRect">
          <a:avLst>
            <a:gd name="adj" fmla="val 0"/>
          </a:avLst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/>
              </a:solidFill>
              <a:latin typeface="Arial Nova Cond" panose="020B0506020202020204" pitchFamily="34" charset="0"/>
            </a:rPr>
            <a:t>CCO</a:t>
          </a:r>
        </a:p>
      </xdr:txBody>
    </xdr:sp>
    <xdr:clientData/>
  </xdr:twoCellAnchor>
  <xdr:twoCellAnchor editAs="absolute">
    <xdr:from>
      <xdr:col>0</xdr:col>
      <xdr:colOff>0</xdr:colOff>
      <xdr:row>7</xdr:row>
      <xdr:rowOff>114300</xdr:rowOff>
    </xdr:from>
    <xdr:to>
      <xdr:col>2</xdr:col>
      <xdr:colOff>9524</xdr:colOff>
      <xdr:row>8</xdr:row>
      <xdr:rowOff>200025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44A1C82B-FADA-4903-82CF-5E674D8C7694}"/>
            </a:ext>
          </a:extLst>
        </xdr:cNvPr>
        <xdr:cNvSpPr/>
      </xdr:nvSpPr>
      <xdr:spPr>
        <a:xfrm>
          <a:off x="0" y="2638425"/>
          <a:ext cx="1990724" cy="438150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tx1"/>
              </a:solidFill>
              <a:latin typeface="Arial Nova Cond" panose="020B0506020202020204" pitchFamily="34" charset="0"/>
            </a:rPr>
            <a:t>SIN</a:t>
          </a:r>
        </a:p>
      </xdr:txBody>
    </xdr:sp>
    <xdr:clientData/>
  </xdr:twoCellAnchor>
  <xdr:twoCellAnchor editAs="absolute">
    <xdr:from>
      <xdr:col>0</xdr:col>
      <xdr:colOff>0</xdr:colOff>
      <xdr:row>8</xdr:row>
      <xdr:rowOff>266700</xdr:rowOff>
    </xdr:from>
    <xdr:to>
      <xdr:col>2</xdr:col>
      <xdr:colOff>9524</xdr:colOff>
      <xdr:row>10</xdr:row>
      <xdr:rowOff>238125</xdr:rowOff>
    </xdr:to>
    <xdr:sp macro="" textlink="">
      <xdr:nvSpPr>
        <xdr:cNvPr id="5" name="Retângulo: Cantos Arredondado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2E6C1E2-5C86-4BCB-91A0-3465985B328B}"/>
            </a:ext>
          </a:extLst>
        </xdr:cNvPr>
        <xdr:cNvSpPr/>
      </xdr:nvSpPr>
      <xdr:spPr>
        <a:xfrm>
          <a:off x="0" y="3143250"/>
          <a:ext cx="1990724" cy="438150"/>
        </a:xfrm>
        <a:prstGeom prst="roundRect">
          <a:avLst>
            <a:gd name="adj" fmla="val 0"/>
          </a:avLst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>
                  <a:lumMod val="95000"/>
                </a:schemeClr>
              </a:solidFill>
              <a:latin typeface="Arial Nova Cond" panose="020B0506020202020204" pitchFamily="34" charset="0"/>
            </a:rPr>
            <a:t>Optativas</a:t>
          </a:r>
        </a:p>
      </xdr:txBody>
    </xdr:sp>
    <xdr:clientData/>
  </xdr:twoCellAnchor>
  <xdr:twoCellAnchor editAs="absolute">
    <xdr:from>
      <xdr:col>0</xdr:col>
      <xdr:colOff>0</xdr:colOff>
      <xdr:row>10</xdr:row>
      <xdr:rowOff>304800</xdr:rowOff>
    </xdr:from>
    <xdr:to>
      <xdr:col>2</xdr:col>
      <xdr:colOff>9524</xdr:colOff>
      <xdr:row>12</xdr:row>
      <xdr:rowOff>38100</xdr:rowOff>
    </xdr:to>
    <xdr:sp macro="" textlink="">
      <xdr:nvSpPr>
        <xdr:cNvPr id="6" name="Retângulo: Cantos Arredondado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00E0B91-BC8F-4833-A507-A6469ACB017F}"/>
            </a:ext>
          </a:extLst>
        </xdr:cNvPr>
        <xdr:cNvSpPr/>
      </xdr:nvSpPr>
      <xdr:spPr>
        <a:xfrm>
          <a:off x="0" y="3648075"/>
          <a:ext cx="1990724" cy="438150"/>
        </a:xfrm>
        <a:prstGeom prst="roundRect">
          <a:avLst>
            <a:gd name="adj" fmla="val 0"/>
          </a:avLst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>
                  <a:lumMod val="95000"/>
                </a:schemeClr>
              </a:solidFill>
              <a:latin typeface="Arial Nova Cond" panose="020B0506020202020204" pitchFamily="34" charset="0"/>
            </a:rPr>
            <a:t>Poscomp</a:t>
          </a:r>
        </a:p>
      </xdr:txBody>
    </xdr:sp>
    <xdr:clientData/>
  </xdr:twoCellAnchor>
  <xdr:twoCellAnchor editAs="absolute">
    <xdr:from>
      <xdr:col>2</xdr:col>
      <xdr:colOff>9526</xdr:colOff>
      <xdr:row>0</xdr:row>
      <xdr:rowOff>0</xdr:rowOff>
    </xdr:from>
    <xdr:to>
      <xdr:col>2</xdr:col>
      <xdr:colOff>1269526</xdr:colOff>
      <xdr:row>1</xdr:row>
      <xdr:rowOff>9525</xdr:rowOff>
    </xdr:to>
    <xdr:sp macro="" textlink="">
      <xdr:nvSpPr>
        <xdr:cNvPr id="7" name="Retângul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B30B3E6-042E-42B8-8C46-EF06C4E58794}"/>
            </a:ext>
          </a:extLst>
        </xdr:cNvPr>
        <xdr:cNvSpPr/>
      </xdr:nvSpPr>
      <xdr:spPr>
        <a:xfrm>
          <a:off x="1990726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>
              <a:solidFill>
                <a:schemeClr val="bg1"/>
              </a:solidFill>
              <a:latin typeface="Arial Nova Cond" panose="020B0506020202020204" pitchFamily="34" charset="0"/>
            </a:rPr>
            <a:t>1º Período</a:t>
          </a:r>
        </a:p>
      </xdr:txBody>
    </xdr:sp>
    <xdr:clientData/>
  </xdr:twoCellAnchor>
  <xdr:twoCellAnchor editAs="absolute">
    <xdr:from>
      <xdr:col>2</xdr:col>
      <xdr:colOff>1268017</xdr:colOff>
      <xdr:row>0</xdr:row>
      <xdr:rowOff>0</xdr:rowOff>
    </xdr:from>
    <xdr:to>
      <xdr:col>3</xdr:col>
      <xdr:colOff>1108792</xdr:colOff>
      <xdr:row>1</xdr:row>
      <xdr:rowOff>9525</xdr:rowOff>
    </xdr:to>
    <xdr:sp macro="" textlink="">
      <xdr:nvSpPr>
        <xdr:cNvPr id="8" name="Retângulo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67E2CE9-67E0-43EB-927B-0C06E89C4B54}"/>
            </a:ext>
          </a:extLst>
        </xdr:cNvPr>
        <xdr:cNvSpPr/>
      </xdr:nvSpPr>
      <xdr:spPr>
        <a:xfrm>
          <a:off x="3249217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2º Período</a:t>
          </a:r>
        </a:p>
      </xdr:txBody>
    </xdr:sp>
    <xdr:clientData/>
  </xdr:twoCellAnchor>
  <xdr:twoCellAnchor editAs="absolute">
    <xdr:from>
      <xdr:col>3</xdr:col>
      <xdr:colOff>1107283</xdr:colOff>
      <xdr:row>0</xdr:row>
      <xdr:rowOff>0</xdr:rowOff>
    </xdr:from>
    <xdr:to>
      <xdr:col>4</xdr:col>
      <xdr:colOff>948058</xdr:colOff>
      <xdr:row>1</xdr:row>
      <xdr:rowOff>9525</xdr:rowOff>
    </xdr:to>
    <xdr:sp macro="" textlink="">
      <xdr:nvSpPr>
        <xdr:cNvPr id="9" name="Retângulo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0CDBA59-4A61-4283-81BE-D2BAF3D171CF}"/>
            </a:ext>
          </a:extLst>
        </xdr:cNvPr>
        <xdr:cNvSpPr/>
      </xdr:nvSpPr>
      <xdr:spPr>
        <a:xfrm>
          <a:off x="4507708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3º Período</a:t>
          </a:r>
        </a:p>
      </xdr:txBody>
    </xdr:sp>
    <xdr:clientData/>
  </xdr:twoCellAnchor>
  <xdr:twoCellAnchor editAs="absolute">
    <xdr:from>
      <xdr:col>4</xdr:col>
      <xdr:colOff>946549</xdr:colOff>
      <xdr:row>0</xdr:row>
      <xdr:rowOff>0</xdr:rowOff>
    </xdr:from>
    <xdr:to>
      <xdr:col>5</xdr:col>
      <xdr:colOff>787324</xdr:colOff>
      <xdr:row>1</xdr:row>
      <xdr:rowOff>9525</xdr:rowOff>
    </xdr:to>
    <xdr:sp macro="" textlink="">
      <xdr:nvSpPr>
        <xdr:cNvPr id="10" name="Retângulo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1B7AE80-7373-4489-A604-B1EBF3B6705C}"/>
            </a:ext>
          </a:extLst>
        </xdr:cNvPr>
        <xdr:cNvSpPr/>
      </xdr:nvSpPr>
      <xdr:spPr>
        <a:xfrm>
          <a:off x="5766199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4º Período</a:t>
          </a:r>
        </a:p>
      </xdr:txBody>
    </xdr:sp>
    <xdr:clientData/>
  </xdr:twoCellAnchor>
  <xdr:twoCellAnchor editAs="absolute">
    <xdr:from>
      <xdr:col>5</xdr:col>
      <xdr:colOff>785815</xdr:colOff>
      <xdr:row>0</xdr:row>
      <xdr:rowOff>0</xdr:rowOff>
    </xdr:from>
    <xdr:to>
      <xdr:col>6</xdr:col>
      <xdr:colOff>626590</xdr:colOff>
      <xdr:row>1</xdr:row>
      <xdr:rowOff>9525</xdr:rowOff>
    </xdr:to>
    <xdr:sp macro="" textlink="">
      <xdr:nvSpPr>
        <xdr:cNvPr id="11" name="Retângulo 1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D0AE9B0-50A8-48AD-A5EC-D1230623DD6B}"/>
            </a:ext>
          </a:extLst>
        </xdr:cNvPr>
        <xdr:cNvSpPr/>
      </xdr:nvSpPr>
      <xdr:spPr>
        <a:xfrm>
          <a:off x="7024690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5º Período</a:t>
          </a:r>
        </a:p>
      </xdr:txBody>
    </xdr:sp>
    <xdr:clientData/>
  </xdr:twoCellAnchor>
  <xdr:twoCellAnchor editAs="absolute">
    <xdr:from>
      <xdr:col>6</xdr:col>
      <xdr:colOff>625081</xdr:colOff>
      <xdr:row>0</xdr:row>
      <xdr:rowOff>0</xdr:rowOff>
    </xdr:from>
    <xdr:to>
      <xdr:col>7</xdr:col>
      <xdr:colOff>465856</xdr:colOff>
      <xdr:row>1</xdr:row>
      <xdr:rowOff>9525</xdr:rowOff>
    </xdr:to>
    <xdr:sp macro="" textlink="">
      <xdr:nvSpPr>
        <xdr:cNvPr id="12" name="Retângulo 1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1555964B-47F6-4FD6-80C1-CDEF8C07FD26}"/>
            </a:ext>
          </a:extLst>
        </xdr:cNvPr>
        <xdr:cNvSpPr/>
      </xdr:nvSpPr>
      <xdr:spPr>
        <a:xfrm>
          <a:off x="8283181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6º Período</a:t>
          </a:r>
        </a:p>
      </xdr:txBody>
    </xdr:sp>
    <xdr:clientData/>
  </xdr:twoCellAnchor>
  <xdr:twoCellAnchor editAs="absolute">
    <xdr:from>
      <xdr:col>7</xdr:col>
      <xdr:colOff>464347</xdr:colOff>
      <xdr:row>0</xdr:row>
      <xdr:rowOff>0</xdr:rowOff>
    </xdr:from>
    <xdr:to>
      <xdr:col>8</xdr:col>
      <xdr:colOff>305122</xdr:colOff>
      <xdr:row>1</xdr:row>
      <xdr:rowOff>9525</xdr:rowOff>
    </xdr:to>
    <xdr:sp macro="" textlink="">
      <xdr:nvSpPr>
        <xdr:cNvPr id="13" name="Retângulo 1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93FD06FB-28DC-4022-9220-5CBA0F412911}"/>
            </a:ext>
          </a:extLst>
        </xdr:cNvPr>
        <xdr:cNvSpPr/>
      </xdr:nvSpPr>
      <xdr:spPr>
        <a:xfrm>
          <a:off x="9541672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7º Período</a:t>
          </a:r>
        </a:p>
      </xdr:txBody>
    </xdr:sp>
    <xdr:clientData/>
  </xdr:twoCellAnchor>
  <xdr:twoCellAnchor editAs="absolute">
    <xdr:from>
      <xdr:col>8</xdr:col>
      <xdr:colOff>303613</xdr:colOff>
      <xdr:row>0</xdr:row>
      <xdr:rowOff>0</xdr:rowOff>
    </xdr:from>
    <xdr:to>
      <xdr:col>9</xdr:col>
      <xdr:colOff>144388</xdr:colOff>
      <xdr:row>1</xdr:row>
      <xdr:rowOff>9525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B87FED67-5387-45E6-AF8B-245CD98F5420}"/>
            </a:ext>
          </a:extLst>
        </xdr:cNvPr>
        <xdr:cNvSpPr/>
      </xdr:nvSpPr>
      <xdr:spPr>
        <a:xfrm>
          <a:off x="10800163" y="0"/>
          <a:ext cx="1260000" cy="4191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  <a:latin typeface="Arial Nova Cond" panose="020B0506020202020204" pitchFamily="34" charset="0"/>
            </a:rPr>
            <a:t>8º Período</a:t>
          </a:r>
        </a:p>
      </xdr:txBody>
    </xdr:sp>
    <xdr:clientData/>
  </xdr:twoCellAnchor>
  <xdr:twoCellAnchor editAs="absolute">
    <xdr:from>
      <xdr:col>9</xdr:col>
      <xdr:colOff>142876</xdr:colOff>
      <xdr:row>0</xdr:row>
      <xdr:rowOff>0</xdr:rowOff>
    </xdr:from>
    <xdr:to>
      <xdr:col>9</xdr:col>
      <xdr:colOff>1402876</xdr:colOff>
      <xdr:row>1</xdr:row>
      <xdr:rowOff>9525</xdr:rowOff>
    </xdr:to>
    <xdr:sp macro="" textlink="">
      <xdr:nvSpPr>
        <xdr:cNvPr id="15" name="Retângulo 1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4ADCC256-384B-41D5-AEC6-BB9267C0DFDF}"/>
            </a:ext>
          </a:extLst>
        </xdr:cNvPr>
        <xdr:cNvSpPr/>
      </xdr:nvSpPr>
      <xdr:spPr>
        <a:xfrm>
          <a:off x="12058651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9º Período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352425</xdr:rowOff>
    </xdr:from>
    <xdr:to>
      <xdr:col>2</xdr:col>
      <xdr:colOff>9524</xdr:colOff>
      <xdr:row>2</xdr:row>
      <xdr:rowOff>28575</xdr:rowOff>
    </xdr:to>
    <xdr:sp macro="[0]!import_csv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85F9FFF-E42E-4084-AABF-12C524F8E1E0}"/>
            </a:ext>
          </a:extLst>
        </xdr:cNvPr>
        <xdr:cNvSpPr/>
      </xdr:nvSpPr>
      <xdr:spPr>
        <a:xfrm>
          <a:off x="0" y="352425"/>
          <a:ext cx="1990724" cy="438150"/>
        </a:xfrm>
        <a:prstGeom prst="roundRect">
          <a:avLst>
            <a:gd name="adj" fmla="val 0"/>
          </a:avLst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tx1"/>
              </a:solidFill>
              <a:latin typeface="Arial Nova Cond" panose="020B0506020202020204" pitchFamily="34" charset="0"/>
            </a:rPr>
            <a:t>GERAR</a:t>
          </a:r>
          <a:r>
            <a:rPr lang="pt-BR" sz="1400" baseline="0">
              <a:solidFill>
                <a:schemeClr val="tx1"/>
              </a:solidFill>
              <a:latin typeface="Arial Nova Cond" panose="020B0506020202020204" pitchFamily="34" charset="0"/>
            </a:rPr>
            <a:t> TABELAS</a:t>
          </a:r>
          <a:endParaRPr lang="pt-BR" sz="1400">
            <a:solidFill>
              <a:schemeClr val="tx1"/>
            </a:solidFill>
            <a:latin typeface="Arial Nova Cond" panose="020B0506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5</xdr:row>
      <xdr:rowOff>314325</xdr:rowOff>
    </xdr:from>
    <xdr:to>
      <xdr:col>2</xdr:col>
      <xdr:colOff>9524</xdr:colOff>
      <xdr:row>7</xdr:row>
      <xdr:rowOff>47625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870D8FE-89D1-4564-8E14-8B3032952012}"/>
            </a:ext>
          </a:extLst>
        </xdr:cNvPr>
        <xdr:cNvSpPr/>
      </xdr:nvSpPr>
      <xdr:spPr>
        <a:xfrm>
          <a:off x="0" y="2133600"/>
          <a:ext cx="1990724" cy="438150"/>
        </a:xfrm>
        <a:prstGeom prst="roundRect">
          <a:avLst>
            <a:gd name="adj" fmla="val 0"/>
          </a:avLst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/>
              </a:solidFill>
              <a:latin typeface="Arial Nova Cond" panose="020B0506020202020204" pitchFamily="34" charset="0"/>
            </a:rPr>
            <a:t>CCO</a:t>
          </a:r>
        </a:p>
      </xdr:txBody>
    </xdr:sp>
    <xdr:clientData/>
  </xdr:twoCellAnchor>
  <xdr:twoCellAnchor editAs="absolute">
    <xdr:from>
      <xdr:col>0</xdr:col>
      <xdr:colOff>0</xdr:colOff>
      <xdr:row>7</xdr:row>
      <xdr:rowOff>114300</xdr:rowOff>
    </xdr:from>
    <xdr:to>
      <xdr:col>2</xdr:col>
      <xdr:colOff>9524</xdr:colOff>
      <xdr:row>8</xdr:row>
      <xdr:rowOff>200025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808BDF0-5FC8-4D5C-A8DB-91CE465ED472}"/>
            </a:ext>
          </a:extLst>
        </xdr:cNvPr>
        <xdr:cNvSpPr/>
      </xdr:nvSpPr>
      <xdr:spPr>
        <a:xfrm>
          <a:off x="0" y="2638425"/>
          <a:ext cx="1990724" cy="438150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tx1"/>
              </a:solidFill>
              <a:latin typeface="Arial Nova Cond" panose="020B0506020202020204" pitchFamily="34" charset="0"/>
            </a:rPr>
            <a:t>SIN</a:t>
          </a:r>
        </a:p>
      </xdr:txBody>
    </xdr:sp>
    <xdr:clientData/>
  </xdr:twoCellAnchor>
  <xdr:twoCellAnchor editAs="absolute">
    <xdr:from>
      <xdr:col>0</xdr:col>
      <xdr:colOff>0</xdr:colOff>
      <xdr:row>8</xdr:row>
      <xdr:rowOff>266700</xdr:rowOff>
    </xdr:from>
    <xdr:to>
      <xdr:col>2</xdr:col>
      <xdr:colOff>9524</xdr:colOff>
      <xdr:row>10</xdr:row>
      <xdr:rowOff>238125</xdr:rowOff>
    </xdr:to>
    <xdr:sp macro="" textlink="">
      <xdr:nvSpPr>
        <xdr:cNvPr id="5" name="Retângulo: Cantos Arredondado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4382C7D-EA8E-46E9-ABFC-FD299135799F}"/>
            </a:ext>
          </a:extLst>
        </xdr:cNvPr>
        <xdr:cNvSpPr/>
      </xdr:nvSpPr>
      <xdr:spPr>
        <a:xfrm>
          <a:off x="0" y="3143250"/>
          <a:ext cx="1990724" cy="438150"/>
        </a:xfrm>
        <a:prstGeom prst="roundRect">
          <a:avLst>
            <a:gd name="adj" fmla="val 0"/>
          </a:avLst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>
                  <a:lumMod val="95000"/>
                </a:schemeClr>
              </a:solidFill>
              <a:latin typeface="Arial Nova Cond" panose="020B0506020202020204" pitchFamily="34" charset="0"/>
            </a:rPr>
            <a:t>Optativas</a:t>
          </a:r>
        </a:p>
      </xdr:txBody>
    </xdr:sp>
    <xdr:clientData/>
  </xdr:twoCellAnchor>
  <xdr:twoCellAnchor editAs="absolute">
    <xdr:from>
      <xdr:col>0</xdr:col>
      <xdr:colOff>0</xdr:colOff>
      <xdr:row>10</xdr:row>
      <xdr:rowOff>304800</xdr:rowOff>
    </xdr:from>
    <xdr:to>
      <xdr:col>2</xdr:col>
      <xdr:colOff>9524</xdr:colOff>
      <xdr:row>12</xdr:row>
      <xdr:rowOff>38100</xdr:rowOff>
    </xdr:to>
    <xdr:sp macro="" textlink="">
      <xdr:nvSpPr>
        <xdr:cNvPr id="6" name="Retângulo: Cantos Arredondado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131A12C-A897-4925-8F86-F38CF08DEF33}"/>
            </a:ext>
          </a:extLst>
        </xdr:cNvPr>
        <xdr:cNvSpPr/>
      </xdr:nvSpPr>
      <xdr:spPr>
        <a:xfrm>
          <a:off x="0" y="3648075"/>
          <a:ext cx="1990724" cy="438150"/>
        </a:xfrm>
        <a:prstGeom prst="roundRect">
          <a:avLst>
            <a:gd name="adj" fmla="val 0"/>
          </a:avLst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>
                  <a:lumMod val="95000"/>
                </a:schemeClr>
              </a:solidFill>
              <a:latin typeface="Arial Nova Cond" panose="020B0506020202020204" pitchFamily="34" charset="0"/>
            </a:rPr>
            <a:t>Poscomp</a:t>
          </a:r>
        </a:p>
      </xdr:txBody>
    </xdr:sp>
    <xdr:clientData/>
  </xdr:twoCellAnchor>
  <xdr:twoCellAnchor editAs="absolute">
    <xdr:from>
      <xdr:col>2</xdr:col>
      <xdr:colOff>9526</xdr:colOff>
      <xdr:row>0</xdr:row>
      <xdr:rowOff>0</xdr:rowOff>
    </xdr:from>
    <xdr:to>
      <xdr:col>2</xdr:col>
      <xdr:colOff>1269526</xdr:colOff>
      <xdr:row>1</xdr:row>
      <xdr:rowOff>9525</xdr:rowOff>
    </xdr:to>
    <xdr:sp macro="" textlink="">
      <xdr:nvSpPr>
        <xdr:cNvPr id="7" name="Retângul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D19DE07-D56B-4B8A-B678-25B13AEE676E}"/>
            </a:ext>
          </a:extLst>
        </xdr:cNvPr>
        <xdr:cNvSpPr/>
      </xdr:nvSpPr>
      <xdr:spPr>
        <a:xfrm>
          <a:off x="1990726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>
              <a:solidFill>
                <a:schemeClr val="bg1"/>
              </a:solidFill>
              <a:latin typeface="Arial Nova Cond" panose="020B0506020202020204" pitchFamily="34" charset="0"/>
            </a:rPr>
            <a:t>1º Período</a:t>
          </a:r>
        </a:p>
      </xdr:txBody>
    </xdr:sp>
    <xdr:clientData/>
  </xdr:twoCellAnchor>
  <xdr:twoCellAnchor editAs="absolute">
    <xdr:from>
      <xdr:col>2</xdr:col>
      <xdr:colOff>1268017</xdr:colOff>
      <xdr:row>0</xdr:row>
      <xdr:rowOff>0</xdr:rowOff>
    </xdr:from>
    <xdr:to>
      <xdr:col>3</xdr:col>
      <xdr:colOff>1108792</xdr:colOff>
      <xdr:row>1</xdr:row>
      <xdr:rowOff>9525</xdr:rowOff>
    </xdr:to>
    <xdr:sp macro="" textlink="">
      <xdr:nvSpPr>
        <xdr:cNvPr id="8" name="Retângulo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A468D4C-C84F-4F0B-B490-81E4EAC053EC}"/>
            </a:ext>
          </a:extLst>
        </xdr:cNvPr>
        <xdr:cNvSpPr/>
      </xdr:nvSpPr>
      <xdr:spPr>
        <a:xfrm>
          <a:off x="3249217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2º Período</a:t>
          </a:r>
        </a:p>
      </xdr:txBody>
    </xdr:sp>
    <xdr:clientData/>
  </xdr:twoCellAnchor>
  <xdr:twoCellAnchor editAs="absolute">
    <xdr:from>
      <xdr:col>3</xdr:col>
      <xdr:colOff>1107283</xdr:colOff>
      <xdr:row>0</xdr:row>
      <xdr:rowOff>0</xdr:rowOff>
    </xdr:from>
    <xdr:to>
      <xdr:col>4</xdr:col>
      <xdr:colOff>948058</xdr:colOff>
      <xdr:row>1</xdr:row>
      <xdr:rowOff>9525</xdr:rowOff>
    </xdr:to>
    <xdr:sp macro="" textlink="">
      <xdr:nvSpPr>
        <xdr:cNvPr id="9" name="Retângulo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80C0ACC0-D164-4493-BBC9-7F1B1DFBF573}"/>
            </a:ext>
          </a:extLst>
        </xdr:cNvPr>
        <xdr:cNvSpPr/>
      </xdr:nvSpPr>
      <xdr:spPr>
        <a:xfrm>
          <a:off x="4507708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3º Período</a:t>
          </a:r>
        </a:p>
      </xdr:txBody>
    </xdr:sp>
    <xdr:clientData/>
  </xdr:twoCellAnchor>
  <xdr:twoCellAnchor editAs="absolute">
    <xdr:from>
      <xdr:col>4</xdr:col>
      <xdr:colOff>946549</xdr:colOff>
      <xdr:row>0</xdr:row>
      <xdr:rowOff>0</xdr:rowOff>
    </xdr:from>
    <xdr:to>
      <xdr:col>5</xdr:col>
      <xdr:colOff>787324</xdr:colOff>
      <xdr:row>1</xdr:row>
      <xdr:rowOff>9525</xdr:rowOff>
    </xdr:to>
    <xdr:sp macro="" textlink="">
      <xdr:nvSpPr>
        <xdr:cNvPr id="10" name="Retângulo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A54D6A64-599F-417A-B790-0E8F00580F79}"/>
            </a:ext>
          </a:extLst>
        </xdr:cNvPr>
        <xdr:cNvSpPr/>
      </xdr:nvSpPr>
      <xdr:spPr>
        <a:xfrm>
          <a:off x="5766199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4º Período</a:t>
          </a:r>
        </a:p>
      </xdr:txBody>
    </xdr:sp>
    <xdr:clientData/>
  </xdr:twoCellAnchor>
  <xdr:twoCellAnchor editAs="absolute">
    <xdr:from>
      <xdr:col>5</xdr:col>
      <xdr:colOff>785815</xdr:colOff>
      <xdr:row>0</xdr:row>
      <xdr:rowOff>0</xdr:rowOff>
    </xdr:from>
    <xdr:to>
      <xdr:col>6</xdr:col>
      <xdr:colOff>626590</xdr:colOff>
      <xdr:row>1</xdr:row>
      <xdr:rowOff>9525</xdr:rowOff>
    </xdr:to>
    <xdr:sp macro="" textlink="">
      <xdr:nvSpPr>
        <xdr:cNvPr id="11" name="Retângulo 1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679D6B92-9D74-49FA-800A-23206318AC29}"/>
            </a:ext>
          </a:extLst>
        </xdr:cNvPr>
        <xdr:cNvSpPr/>
      </xdr:nvSpPr>
      <xdr:spPr>
        <a:xfrm>
          <a:off x="7024690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5º Período</a:t>
          </a:r>
        </a:p>
      </xdr:txBody>
    </xdr:sp>
    <xdr:clientData/>
  </xdr:twoCellAnchor>
  <xdr:twoCellAnchor editAs="absolute">
    <xdr:from>
      <xdr:col>6</xdr:col>
      <xdr:colOff>625081</xdr:colOff>
      <xdr:row>0</xdr:row>
      <xdr:rowOff>0</xdr:rowOff>
    </xdr:from>
    <xdr:to>
      <xdr:col>7</xdr:col>
      <xdr:colOff>465856</xdr:colOff>
      <xdr:row>1</xdr:row>
      <xdr:rowOff>9525</xdr:rowOff>
    </xdr:to>
    <xdr:sp macro="" textlink="">
      <xdr:nvSpPr>
        <xdr:cNvPr id="12" name="Retângulo 1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B9CBE519-6BD3-4CF2-950F-548AC7ECB69B}"/>
            </a:ext>
          </a:extLst>
        </xdr:cNvPr>
        <xdr:cNvSpPr/>
      </xdr:nvSpPr>
      <xdr:spPr>
        <a:xfrm>
          <a:off x="8283181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6º Período</a:t>
          </a:r>
        </a:p>
      </xdr:txBody>
    </xdr:sp>
    <xdr:clientData/>
  </xdr:twoCellAnchor>
  <xdr:twoCellAnchor editAs="absolute">
    <xdr:from>
      <xdr:col>7</xdr:col>
      <xdr:colOff>464347</xdr:colOff>
      <xdr:row>0</xdr:row>
      <xdr:rowOff>0</xdr:rowOff>
    </xdr:from>
    <xdr:to>
      <xdr:col>8</xdr:col>
      <xdr:colOff>305122</xdr:colOff>
      <xdr:row>1</xdr:row>
      <xdr:rowOff>9525</xdr:rowOff>
    </xdr:to>
    <xdr:sp macro="" textlink="">
      <xdr:nvSpPr>
        <xdr:cNvPr id="13" name="Retângulo 1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BDC7BECA-DC55-458A-9DB3-79421343ABAD}"/>
            </a:ext>
          </a:extLst>
        </xdr:cNvPr>
        <xdr:cNvSpPr/>
      </xdr:nvSpPr>
      <xdr:spPr>
        <a:xfrm>
          <a:off x="9541672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7º Período</a:t>
          </a:r>
        </a:p>
      </xdr:txBody>
    </xdr:sp>
    <xdr:clientData/>
  </xdr:twoCellAnchor>
  <xdr:twoCellAnchor editAs="absolute">
    <xdr:from>
      <xdr:col>8</xdr:col>
      <xdr:colOff>303613</xdr:colOff>
      <xdr:row>0</xdr:row>
      <xdr:rowOff>0</xdr:rowOff>
    </xdr:from>
    <xdr:to>
      <xdr:col>9</xdr:col>
      <xdr:colOff>144388</xdr:colOff>
      <xdr:row>1</xdr:row>
      <xdr:rowOff>9525</xdr:rowOff>
    </xdr:to>
    <xdr:sp macro="" textlink="">
      <xdr:nvSpPr>
        <xdr:cNvPr id="14" name="Retângulo 1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D0591042-352B-4B2B-B9CC-F501E23BFB63}"/>
            </a:ext>
          </a:extLst>
        </xdr:cNvPr>
        <xdr:cNvSpPr/>
      </xdr:nvSpPr>
      <xdr:spPr>
        <a:xfrm>
          <a:off x="10800163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8º Período</a:t>
          </a:r>
        </a:p>
      </xdr:txBody>
    </xdr:sp>
    <xdr:clientData/>
  </xdr:twoCellAnchor>
  <xdr:twoCellAnchor editAs="absolute">
    <xdr:from>
      <xdr:col>9</xdr:col>
      <xdr:colOff>142876</xdr:colOff>
      <xdr:row>0</xdr:row>
      <xdr:rowOff>0</xdr:rowOff>
    </xdr:from>
    <xdr:to>
      <xdr:col>9</xdr:col>
      <xdr:colOff>1402876</xdr:colOff>
      <xdr:row>1</xdr:row>
      <xdr:rowOff>9525</xdr:rowOff>
    </xdr:to>
    <xdr:sp macro="" textlink="">
      <xdr:nvSpPr>
        <xdr:cNvPr id="15" name="Retângulo 14">
          <a:extLst>
            <a:ext uri="{FF2B5EF4-FFF2-40B4-BE49-F238E27FC236}">
              <a16:creationId xmlns:a16="http://schemas.microsoft.com/office/drawing/2014/main" id="{164AB152-0008-47A8-9EB0-A7A7D89B5E13}"/>
            </a:ext>
          </a:extLst>
        </xdr:cNvPr>
        <xdr:cNvSpPr/>
      </xdr:nvSpPr>
      <xdr:spPr>
        <a:xfrm>
          <a:off x="12058651" y="0"/>
          <a:ext cx="1260000" cy="4191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  <a:latin typeface="Arial Nova Cond" panose="020B0506020202020204" pitchFamily="34" charset="0"/>
            </a:rPr>
            <a:t>9º Período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352425</xdr:rowOff>
    </xdr:from>
    <xdr:to>
      <xdr:col>2</xdr:col>
      <xdr:colOff>9524</xdr:colOff>
      <xdr:row>2</xdr:row>
      <xdr:rowOff>28575</xdr:rowOff>
    </xdr:to>
    <xdr:sp macro="[0]!import_csv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97DF707C-4A96-4195-883D-212B1B52EDCD}"/>
            </a:ext>
          </a:extLst>
        </xdr:cNvPr>
        <xdr:cNvSpPr/>
      </xdr:nvSpPr>
      <xdr:spPr>
        <a:xfrm>
          <a:off x="0" y="352425"/>
          <a:ext cx="1990724" cy="438150"/>
        </a:xfrm>
        <a:prstGeom prst="roundRect">
          <a:avLst>
            <a:gd name="adj" fmla="val 0"/>
          </a:avLst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tx1"/>
              </a:solidFill>
              <a:latin typeface="Arial Nova Cond" panose="020B0506020202020204" pitchFamily="34" charset="0"/>
            </a:rPr>
            <a:t>GERAR</a:t>
          </a:r>
          <a:r>
            <a:rPr lang="pt-BR" sz="1400" baseline="0">
              <a:solidFill>
                <a:schemeClr val="tx1"/>
              </a:solidFill>
              <a:latin typeface="Arial Nova Cond" panose="020B0506020202020204" pitchFamily="34" charset="0"/>
            </a:rPr>
            <a:t> TABELAS</a:t>
          </a:r>
          <a:endParaRPr lang="pt-BR" sz="1400">
            <a:solidFill>
              <a:schemeClr val="tx1"/>
            </a:solidFill>
            <a:latin typeface="Arial Nova Cond" panose="020B0506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5</xdr:row>
      <xdr:rowOff>314325</xdr:rowOff>
    </xdr:from>
    <xdr:to>
      <xdr:col>2</xdr:col>
      <xdr:colOff>9524</xdr:colOff>
      <xdr:row>7</xdr:row>
      <xdr:rowOff>47625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FEA2B93-9FD5-4BA6-B895-C42B3D0FA522}"/>
            </a:ext>
          </a:extLst>
        </xdr:cNvPr>
        <xdr:cNvSpPr/>
      </xdr:nvSpPr>
      <xdr:spPr>
        <a:xfrm>
          <a:off x="0" y="2133600"/>
          <a:ext cx="1990724" cy="438150"/>
        </a:xfrm>
        <a:prstGeom prst="roundRect">
          <a:avLst>
            <a:gd name="adj" fmla="val 0"/>
          </a:avLst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2"/>
              </a:solidFill>
              <a:latin typeface="Arial Nova Cond" panose="020B0506020202020204" pitchFamily="34" charset="0"/>
            </a:rPr>
            <a:t>CCO</a:t>
          </a:r>
        </a:p>
      </xdr:txBody>
    </xdr:sp>
    <xdr:clientData/>
  </xdr:twoCellAnchor>
  <xdr:twoCellAnchor editAs="absolute">
    <xdr:from>
      <xdr:col>0</xdr:col>
      <xdr:colOff>0</xdr:colOff>
      <xdr:row>7</xdr:row>
      <xdr:rowOff>114300</xdr:rowOff>
    </xdr:from>
    <xdr:to>
      <xdr:col>2</xdr:col>
      <xdr:colOff>9524</xdr:colOff>
      <xdr:row>8</xdr:row>
      <xdr:rowOff>200025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88EDDBB-452B-48A3-8A44-E9708685441C}"/>
            </a:ext>
          </a:extLst>
        </xdr:cNvPr>
        <xdr:cNvSpPr/>
      </xdr:nvSpPr>
      <xdr:spPr>
        <a:xfrm>
          <a:off x="0" y="2638425"/>
          <a:ext cx="1990724" cy="438150"/>
        </a:xfrm>
        <a:prstGeom prst="roundRect">
          <a:avLst>
            <a:gd name="adj" fmla="val 0"/>
          </a:avLst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>
                  <a:lumMod val="95000"/>
                </a:schemeClr>
              </a:solidFill>
              <a:latin typeface="Arial Nova Cond" panose="020B0506020202020204" pitchFamily="34" charset="0"/>
            </a:rPr>
            <a:t>SIN</a:t>
          </a:r>
        </a:p>
      </xdr:txBody>
    </xdr:sp>
    <xdr:clientData/>
  </xdr:twoCellAnchor>
  <xdr:twoCellAnchor editAs="absolute">
    <xdr:from>
      <xdr:col>0</xdr:col>
      <xdr:colOff>0</xdr:colOff>
      <xdr:row>8</xdr:row>
      <xdr:rowOff>266700</xdr:rowOff>
    </xdr:from>
    <xdr:to>
      <xdr:col>2</xdr:col>
      <xdr:colOff>9524</xdr:colOff>
      <xdr:row>10</xdr:row>
      <xdr:rowOff>247650</xdr:rowOff>
    </xdr:to>
    <xdr:sp macro="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59C15D51-3025-4A06-BCDF-07C3D307AF70}"/>
            </a:ext>
          </a:extLst>
        </xdr:cNvPr>
        <xdr:cNvSpPr/>
      </xdr:nvSpPr>
      <xdr:spPr>
        <a:xfrm>
          <a:off x="0" y="3143250"/>
          <a:ext cx="1990724" cy="438150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tx1"/>
              </a:solidFill>
              <a:latin typeface="Arial Nova Cond" panose="020B0506020202020204" pitchFamily="34" charset="0"/>
            </a:rPr>
            <a:t>Optativas</a:t>
          </a:r>
        </a:p>
      </xdr:txBody>
    </xdr:sp>
    <xdr:clientData/>
  </xdr:twoCellAnchor>
  <xdr:twoCellAnchor editAs="absolute">
    <xdr:from>
      <xdr:col>0</xdr:col>
      <xdr:colOff>0</xdr:colOff>
      <xdr:row>10</xdr:row>
      <xdr:rowOff>314325</xdr:rowOff>
    </xdr:from>
    <xdr:to>
      <xdr:col>2</xdr:col>
      <xdr:colOff>9524</xdr:colOff>
      <xdr:row>12</xdr:row>
      <xdr:rowOff>47625</xdr:rowOff>
    </xdr:to>
    <xdr:sp macro="" textlink="">
      <xdr:nvSpPr>
        <xdr:cNvPr id="6" name="Retângulo: Cantos Arredondado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D690B44-3F3F-441B-B4A1-42ADE6F8E8C4}"/>
            </a:ext>
          </a:extLst>
        </xdr:cNvPr>
        <xdr:cNvSpPr/>
      </xdr:nvSpPr>
      <xdr:spPr>
        <a:xfrm>
          <a:off x="0" y="3648075"/>
          <a:ext cx="1990724" cy="438150"/>
        </a:xfrm>
        <a:prstGeom prst="roundRect">
          <a:avLst>
            <a:gd name="adj" fmla="val 0"/>
          </a:avLst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>
                  <a:lumMod val="95000"/>
                </a:schemeClr>
              </a:solidFill>
              <a:latin typeface="Arial Nova Cond" panose="020B0506020202020204" pitchFamily="34" charset="0"/>
            </a:rPr>
            <a:t>Poscomp</a:t>
          </a:r>
        </a:p>
      </xdr:txBody>
    </xdr:sp>
    <xdr:clientData/>
  </xdr:twoCellAnchor>
  <xdr:twoCellAnchor editAs="absolute">
    <xdr:from>
      <xdr:col>2</xdr:col>
      <xdr:colOff>9526</xdr:colOff>
      <xdr:row>0</xdr:row>
      <xdr:rowOff>0</xdr:rowOff>
    </xdr:from>
    <xdr:to>
      <xdr:col>2</xdr:col>
      <xdr:colOff>1269526</xdr:colOff>
      <xdr:row>1</xdr:row>
      <xdr:rowOff>9525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A24D0AA5-CD9D-4EB3-A4DD-9EBE5C0377E1}"/>
            </a:ext>
          </a:extLst>
        </xdr:cNvPr>
        <xdr:cNvSpPr/>
      </xdr:nvSpPr>
      <xdr:spPr>
        <a:xfrm>
          <a:off x="1990726" y="0"/>
          <a:ext cx="1260000" cy="4191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  <a:latin typeface="Arial Nova Cond" panose="020B0506020202020204" pitchFamily="34" charset="0"/>
            </a:rPr>
            <a:t>1º Semestre</a:t>
          </a:r>
        </a:p>
      </xdr:txBody>
    </xdr:sp>
    <xdr:clientData/>
  </xdr:twoCellAnchor>
  <xdr:twoCellAnchor editAs="absolute">
    <xdr:from>
      <xdr:col>2</xdr:col>
      <xdr:colOff>1268017</xdr:colOff>
      <xdr:row>0</xdr:row>
      <xdr:rowOff>0</xdr:rowOff>
    </xdr:from>
    <xdr:to>
      <xdr:col>3</xdr:col>
      <xdr:colOff>1108792</xdr:colOff>
      <xdr:row>1</xdr:row>
      <xdr:rowOff>9525</xdr:rowOff>
    </xdr:to>
    <xdr:sp macro="" textlink="">
      <xdr:nvSpPr>
        <xdr:cNvPr id="8" name="Retângulo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ACC8DD4-D75D-4352-A7E9-73CD4338F70B}"/>
            </a:ext>
          </a:extLst>
        </xdr:cNvPr>
        <xdr:cNvSpPr/>
      </xdr:nvSpPr>
      <xdr:spPr>
        <a:xfrm>
          <a:off x="3249217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2º Semestre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352425</xdr:rowOff>
    </xdr:from>
    <xdr:to>
      <xdr:col>2</xdr:col>
      <xdr:colOff>9524</xdr:colOff>
      <xdr:row>2</xdr:row>
      <xdr:rowOff>28575</xdr:rowOff>
    </xdr:to>
    <xdr:sp macro="[0]!import_csv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22DAEA2-BC37-439D-9F9C-E02B876CBA52}"/>
            </a:ext>
          </a:extLst>
        </xdr:cNvPr>
        <xdr:cNvSpPr/>
      </xdr:nvSpPr>
      <xdr:spPr>
        <a:xfrm>
          <a:off x="0" y="352425"/>
          <a:ext cx="1990724" cy="438150"/>
        </a:xfrm>
        <a:prstGeom prst="roundRect">
          <a:avLst>
            <a:gd name="adj" fmla="val 0"/>
          </a:avLst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tx1"/>
              </a:solidFill>
              <a:latin typeface="Arial Nova Cond" panose="020B0506020202020204" pitchFamily="34" charset="0"/>
            </a:rPr>
            <a:t>GERAR</a:t>
          </a:r>
          <a:r>
            <a:rPr lang="pt-BR" sz="1400" baseline="0">
              <a:solidFill>
                <a:schemeClr val="tx1"/>
              </a:solidFill>
              <a:latin typeface="Arial Nova Cond" panose="020B0506020202020204" pitchFamily="34" charset="0"/>
            </a:rPr>
            <a:t> TABELAS</a:t>
          </a:r>
          <a:endParaRPr lang="pt-BR" sz="1400">
            <a:solidFill>
              <a:schemeClr val="tx1"/>
            </a:solidFill>
            <a:latin typeface="Arial Nova Cond" panose="020B0506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5</xdr:row>
      <xdr:rowOff>314325</xdr:rowOff>
    </xdr:from>
    <xdr:to>
      <xdr:col>2</xdr:col>
      <xdr:colOff>9524</xdr:colOff>
      <xdr:row>7</xdr:row>
      <xdr:rowOff>47625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3606AC2-E91B-4EFC-AFE3-84373DFF4C8B}"/>
            </a:ext>
          </a:extLst>
        </xdr:cNvPr>
        <xdr:cNvSpPr/>
      </xdr:nvSpPr>
      <xdr:spPr>
        <a:xfrm>
          <a:off x="0" y="2133600"/>
          <a:ext cx="1990724" cy="438150"/>
        </a:xfrm>
        <a:prstGeom prst="roundRect">
          <a:avLst>
            <a:gd name="adj" fmla="val 0"/>
          </a:avLst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2"/>
              </a:solidFill>
              <a:latin typeface="Arial Nova Cond" panose="020B0506020202020204" pitchFamily="34" charset="0"/>
            </a:rPr>
            <a:t>CCO</a:t>
          </a:r>
        </a:p>
      </xdr:txBody>
    </xdr:sp>
    <xdr:clientData/>
  </xdr:twoCellAnchor>
  <xdr:twoCellAnchor editAs="absolute">
    <xdr:from>
      <xdr:col>0</xdr:col>
      <xdr:colOff>0</xdr:colOff>
      <xdr:row>7</xdr:row>
      <xdr:rowOff>114300</xdr:rowOff>
    </xdr:from>
    <xdr:to>
      <xdr:col>2</xdr:col>
      <xdr:colOff>9524</xdr:colOff>
      <xdr:row>8</xdr:row>
      <xdr:rowOff>200025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F2A962E-6713-423D-AE55-1AFCBEA831AA}"/>
            </a:ext>
          </a:extLst>
        </xdr:cNvPr>
        <xdr:cNvSpPr/>
      </xdr:nvSpPr>
      <xdr:spPr>
        <a:xfrm>
          <a:off x="0" y="2638425"/>
          <a:ext cx="1990724" cy="438150"/>
        </a:xfrm>
        <a:prstGeom prst="roundRect">
          <a:avLst>
            <a:gd name="adj" fmla="val 0"/>
          </a:avLst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>
                  <a:lumMod val="95000"/>
                </a:schemeClr>
              </a:solidFill>
              <a:latin typeface="Arial Nova Cond" panose="020B0506020202020204" pitchFamily="34" charset="0"/>
            </a:rPr>
            <a:t>SIN</a:t>
          </a:r>
        </a:p>
      </xdr:txBody>
    </xdr:sp>
    <xdr:clientData/>
  </xdr:twoCellAnchor>
  <xdr:twoCellAnchor editAs="absolute">
    <xdr:from>
      <xdr:col>0</xdr:col>
      <xdr:colOff>0</xdr:colOff>
      <xdr:row>8</xdr:row>
      <xdr:rowOff>266700</xdr:rowOff>
    </xdr:from>
    <xdr:to>
      <xdr:col>2</xdr:col>
      <xdr:colOff>9524</xdr:colOff>
      <xdr:row>10</xdr:row>
      <xdr:rowOff>238125</xdr:rowOff>
    </xdr:to>
    <xdr:sp macro="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3E291C97-4E6D-4AAD-8917-95DFC6092ED3}"/>
            </a:ext>
          </a:extLst>
        </xdr:cNvPr>
        <xdr:cNvSpPr/>
      </xdr:nvSpPr>
      <xdr:spPr>
        <a:xfrm>
          <a:off x="0" y="3143250"/>
          <a:ext cx="1990724" cy="438150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tx1"/>
              </a:solidFill>
              <a:latin typeface="Arial Nova Cond" panose="020B0506020202020204" pitchFamily="34" charset="0"/>
            </a:rPr>
            <a:t>Optativas</a:t>
          </a:r>
        </a:p>
      </xdr:txBody>
    </xdr:sp>
    <xdr:clientData/>
  </xdr:twoCellAnchor>
  <xdr:twoCellAnchor editAs="absolute">
    <xdr:from>
      <xdr:col>0</xdr:col>
      <xdr:colOff>0</xdr:colOff>
      <xdr:row>10</xdr:row>
      <xdr:rowOff>304800</xdr:rowOff>
    </xdr:from>
    <xdr:to>
      <xdr:col>2</xdr:col>
      <xdr:colOff>9524</xdr:colOff>
      <xdr:row>12</xdr:row>
      <xdr:rowOff>38100</xdr:rowOff>
    </xdr:to>
    <xdr:sp macro="" textlink="">
      <xdr:nvSpPr>
        <xdr:cNvPr id="6" name="Retângulo: Cantos Arredondado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44C24E1-CC48-44E4-9BFE-7725FDD0FEB8}"/>
            </a:ext>
          </a:extLst>
        </xdr:cNvPr>
        <xdr:cNvSpPr/>
      </xdr:nvSpPr>
      <xdr:spPr>
        <a:xfrm>
          <a:off x="0" y="3648075"/>
          <a:ext cx="1990724" cy="438150"/>
        </a:xfrm>
        <a:prstGeom prst="roundRect">
          <a:avLst>
            <a:gd name="adj" fmla="val 0"/>
          </a:avLst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>
                  <a:lumMod val="95000"/>
                </a:schemeClr>
              </a:solidFill>
              <a:latin typeface="Arial Nova Cond" panose="020B0506020202020204" pitchFamily="34" charset="0"/>
            </a:rPr>
            <a:t>Poscomp</a:t>
          </a:r>
        </a:p>
      </xdr:txBody>
    </xdr:sp>
    <xdr:clientData/>
  </xdr:twoCellAnchor>
  <xdr:twoCellAnchor editAs="absolute">
    <xdr:from>
      <xdr:col>2</xdr:col>
      <xdr:colOff>9526</xdr:colOff>
      <xdr:row>0</xdr:row>
      <xdr:rowOff>0</xdr:rowOff>
    </xdr:from>
    <xdr:to>
      <xdr:col>2</xdr:col>
      <xdr:colOff>1269526</xdr:colOff>
      <xdr:row>1</xdr:row>
      <xdr:rowOff>9525</xdr:rowOff>
    </xdr:to>
    <xdr:sp macro="" textlink="">
      <xdr:nvSpPr>
        <xdr:cNvPr id="7" name="Retângul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76BBB16-77C3-4446-8CE7-4A6146F08D2D}"/>
            </a:ext>
          </a:extLst>
        </xdr:cNvPr>
        <xdr:cNvSpPr/>
      </xdr:nvSpPr>
      <xdr:spPr>
        <a:xfrm>
          <a:off x="1990726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>
              <a:solidFill>
                <a:schemeClr val="bg1"/>
              </a:solidFill>
              <a:latin typeface="Arial Nova Cond" panose="020B0506020202020204" pitchFamily="34" charset="0"/>
            </a:rPr>
            <a:t>1º Semestre</a:t>
          </a:r>
        </a:p>
      </xdr:txBody>
    </xdr:sp>
    <xdr:clientData/>
  </xdr:twoCellAnchor>
  <xdr:twoCellAnchor editAs="absolute">
    <xdr:from>
      <xdr:col>2</xdr:col>
      <xdr:colOff>1268017</xdr:colOff>
      <xdr:row>0</xdr:row>
      <xdr:rowOff>0</xdr:rowOff>
    </xdr:from>
    <xdr:to>
      <xdr:col>3</xdr:col>
      <xdr:colOff>1108792</xdr:colOff>
      <xdr:row>1</xdr:row>
      <xdr:rowOff>9525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60C84A4A-3F90-4EF9-90D8-FD73D8D8A5EA}"/>
            </a:ext>
          </a:extLst>
        </xdr:cNvPr>
        <xdr:cNvSpPr/>
      </xdr:nvSpPr>
      <xdr:spPr>
        <a:xfrm>
          <a:off x="3249217" y="0"/>
          <a:ext cx="1260000" cy="4191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  <a:latin typeface="Arial Nova Cond" panose="020B0506020202020204" pitchFamily="34" charset="0"/>
            </a:rPr>
            <a:t>2º Semestre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352425</xdr:rowOff>
    </xdr:from>
    <xdr:to>
      <xdr:col>2</xdr:col>
      <xdr:colOff>9524</xdr:colOff>
      <xdr:row>2</xdr:row>
      <xdr:rowOff>28575</xdr:rowOff>
    </xdr:to>
    <xdr:sp macro="[0]!import_csv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31ABC5D-1261-4F18-AAF2-6FEDBD22A19B}"/>
            </a:ext>
          </a:extLst>
        </xdr:cNvPr>
        <xdr:cNvSpPr/>
      </xdr:nvSpPr>
      <xdr:spPr>
        <a:xfrm>
          <a:off x="0" y="352425"/>
          <a:ext cx="1990724" cy="438150"/>
        </a:xfrm>
        <a:prstGeom prst="roundRect">
          <a:avLst>
            <a:gd name="adj" fmla="val 0"/>
          </a:avLst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tx1"/>
              </a:solidFill>
              <a:latin typeface="Arial Nova Cond" panose="020B0506020202020204" pitchFamily="34" charset="0"/>
            </a:rPr>
            <a:t>GERAR</a:t>
          </a:r>
          <a:r>
            <a:rPr lang="pt-BR" sz="1400" baseline="0">
              <a:solidFill>
                <a:schemeClr val="tx1"/>
              </a:solidFill>
              <a:latin typeface="Arial Nova Cond" panose="020B0506020202020204" pitchFamily="34" charset="0"/>
            </a:rPr>
            <a:t> TABELAS</a:t>
          </a:r>
          <a:endParaRPr lang="pt-BR" sz="1400">
            <a:solidFill>
              <a:schemeClr val="tx1"/>
            </a:solidFill>
            <a:latin typeface="Arial Nova Cond" panose="020B0506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5</xdr:row>
      <xdr:rowOff>314325</xdr:rowOff>
    </xdr:from>
    <xdr:to>
      <xdr:col>2</xdr:col>
      <xdr:colOff>9524</xdr:colOff>
      <xdr:row>7</xdr:row>
      <xdr:rowOff>47625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908E768-53E7-4585-9366-CC3DF7A09AE8}"/>
            </a:ext>
          </a:extLst>
        </xdr:cNvPr>
        <xdr:cNvSpPr/>
      </xdr:nvSpPr>
      <xdr:spPr>
        <a:xfrm>
          <a:off x="0" y="2133600"/>
          <a:ext cx="1990724" cy="438150"/>
        </a:xfrm>
        <a:prstGeom prst="roundRect">
          <a:avLst>
            <a:gd name="adj" fmla="val 0"/>
          </a:avLst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2"/>
              </a:solidFill>
              <a:latin typeface="Arial Nova Cond" panose="020B0506020202020204" pitchFamily="34" charset="0"/>
            </a:rPr>
            <a:t>CCO</a:t>
          </a:r>
        </a:p>
      </xdr:txBody>
    </xdr:sp>
    <xdr:clientData/>
  </xdr:twoCellAnchor>
  <xdr:twoCellAnchor editAs="absolute">
    <xdr:from>
      <xdr:col>0</xdr:col>
      <xdr:colOff>0</xdr:colOff>
      <xdr:row>7</xdr:row>
      <xdr:rowOff>114300</xdr:rowOff>
    </xdr:from>
    <xdr:to>
      <xdr:col>2</xdr:col>
      <xdr:colOff>9524</xdr:colOff>
      <xdr:row>8</xdr:row>
      <xdr:rowOff>200025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936EFCB-7EA4-4DC3-A6D7-3D7706741060}"/>
            </a:ext>
          </a:extLst>
        </xdr:cNvPr>
        <xdr:cNvSpPr/>
      </xdr:nvSpPr>
      <xdr:spPr>
        <a:xfrm>
          <a:off x="0" y="2638425"/>
          <a:ext cx="1990724" cy="438150"/>
        </a:xfrm>
        <a:prstGeom prst="roundRect">
          <a:avLst>
            <a:gd name="adj" fmla="val 0"/>
          </a:avLst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>
                  <a:lumMod val="95000"/>
                </a:schemeClr>
              </a:solidFill>
              <a:latin typeface="Arial Nova Cond" panose="020B0506020202020204" pitchFamily="34" charset="0"/>
            </a:rPr>
            <a:t>SIN</a:t>
          </a:r>
        </a:p>
      </xdr:txBody>
    </xdr:sp>
    <xdr:clientData/>
  </xdr:twoCellAnchor>
  <xdr:twoCellAnchor editAs="absolute">
    <xdr:from>
      <xdr:col>0</xdr:col>
      <xdr:colOff>0</xdr:colOff>
      <xdr:row>8</xdr:row>
      <xdr:rowOff>266700</xdr:rowOff>
    </xdr:from>
    <xdr:to>
      <xdr:col>2</xdr:col>
      <xdr:colOff>9524</xdr:colOff>
      <xdr:row>10</xdr:row>
      <xdr:rowOff>238125</xdr:rowOff>
    </xdr:to>
    <xdr:sp macro="" textlink="">
      <xdr:nvSpPr>
        <xdr:cNvPr id="5" name="Retângulo: Canto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852DB3D-99AD-4193-BFD4-F6F90E4FB126}"/>
            </a:ext>
          </a:extLst>
        </xdr:cNvPr>
        <xdr:cNvSpPr/>
      </xdr:nvSpPr>
      <xdr:spPr>
        <a:xfrm>
          <a:off x="0" y="3143250"/>
          <a:ext cx="1990724" cy="438150"/>
        </a:xfrm>
        <a:prstGeom prst="roundRect">
          <a:avLst>
            <a:gd name="adj" fmla="val 0"/>
          </a:avLst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2"/>
              </a:solidFill>
              <a:latin typeface="Arial Nova Cond" panose="020B0506020202020204" pitchFamily="34" charset="0"/>
            </a:rPr>
            <a:t>Optativas</a:t>
          </a:r>
        </a:p>
      </xdr:txBody>
    </xdr:sp>
    <xdr:clientData/>
  </xdr:twoCellAnchor>
  <xdr:twoCellAnchor editAs="absolute">
    <xdr:from>
      <xdr:col>0</xdr:col>
      <xdr:colOff>0</xdr:colOff>
      <xdr:row>10</xdr:row>
      <xdr:rowOff>304800</xdr:rowOff>
    </xdr:from>
    <xdr:to>
      <xdr:col>2</xdr:col>
      <xdr:colOff>9524</xdr:colOff>
      <xdr:row>12</xdr:row>
      <xdr:rowOff>38100</xdr:rowOff>
    </xdr:to>
    <xdr:sp macro="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38DD64C9-28BE-4D00-A325-5C6EB0F6F4B0}"/>
            </a:ext>
          </a:extLst>
        </xdr:cNvPr>
        <xdr:cNvSpPr/>
      </xdr:nvSpPr>
      <xdr:spPr>
        <a:xfrm>
          <a:off x="0" y="3648075"/>
          <a:ext cx="1990724" cy="438150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tx1"/>
              </a:solidFill>
              <a:latin typeface="Arial Nova Cond" panose="020B0506020202020204" pitchFamily="34" charset="0"/>
            </a:rPr>
            <a:t>Poscomp</a:t>
          </a:r>
        </a:p>
      </xdr:txBody>
    </xdr:sp>
    <xdr:clientData/>
  </xdr:twoCellAnchor>
  <xdr:twoCellAnchor editAs="absolute">
    <xdr:from>
      <xdr:col>2</xdr:col>
      <xdr:colOff>9526</xdr:colOff>
      <xdr:row>0</xdr:row>
      <xdr:rowOff>0</xdr:rowOff>
    </xdr:from>
    <xdr:to>
      <xdr:col>2</xdr:col>
      <xdr:colOff>1269526</xdr:colOff>
      <xdr:row>1</xdr:row>
      <xdr:rowOff>9525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6101E2A2-3E88-4B87-8E96-8ABB9A6FADD1}"/>
            </a:ext>
          </a:extLst>
        </xdr:cNvPr>
        <xdr:cNvSpPr/>
      </xdr:nvSpPr>
      <xdr:spPr>
        <a:xfrm>
          <a:off x="1990726" y="0"/>
          <a:ext cx="1260000" cy="4191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  <a:latin typeface="Arial Nova Cond" panose="020B0506020202020204" pitchFamily="34" charset="0"/>
            </a:rPr>
            <a:t>1º Semestre</a:t>
          </a:r>
        </a:p>
      </xdr:txBody>
    </xdr:sp>
    <xdr:clientData/>
  </xdr:twoCellAnchor>
  <xdr:twoCellAnchor editAs="absolute">
    <xdr:from>
      <xdr:col>2</xdr:col>
      <xdr:colOff>1268017</xdr:colOff>
      <xdr:row>0</xdr:row>
      <xdr:rowOff>0</xdr:rowOff>
    </xdr:from>
    <xdr:to>
      <xdr:col>3</xdr:col>
      <xdr:colOff>1108792</xdr:colOff>
      <xdr:row>1</xdr:row>
      <xdr:rowOff>9525</xdr:rowOff>
    </xdr:to>
    <xdr:sp macro="" textlink="">
      <xdr:nvSpPr>
        <xdr:cNvPr id="8" name="Retângulo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4F09605-2C9A-4B29-8668-2FABE991AB35}"/>
            </a:ext>
          </a:extLst>
        </xdr:cNvPr>
        <xdr:cNvSpPr/>
      </xdr:nvSpPr>
      <xdr:spPr>
        <a:xfrm>
          <a:off x="3249217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Arial Nova Cond" panose="020B0506020202020204" pitchFamily="34" charset="0"/>
            </a:rPr>
            <a:t>2º Semestre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352425</xdr:rowOff>
    </xdr:from>
    <xdr:to>
      <xdr:col>2</xdr:col>
      <xdr:colOff>9524</xdr:colOff>
      <xdr:row>2</xdr:row>
      <xdr:rowOff>28575</xdr:rowOff>
    </xdr:to>
    <xdr:sp macro="[0]!import_csv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6E3A7EF-05F7-47CA-8D7C-5582B1240A74}"/>
            </a:ext>
          </a:extLst>
        </xdr:cNvPr>
        <xdr:cNvSpPr/>
      </xdr:nvSpPr>
      <xdr:spPr>
        <a:xfrm>
          <a:off x="0" y="352425"/>
          <a:ext cx="1990724" cy="438150"/>
        </a:xfrm>
        <a:prstGeom prst="roundRect">
          <a:avLst>
            <a:gd name="adj" fmla="val 0"/>
          </a:avLst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tx1"/>
              </a:solidFill>
              <a:latin typeface="Arial Nova Cond" panose="020B0506020202020204" pitchFamily="34" charset="0"/>
            </a:rPr>
            <a:t>GERAR</a:t>
          </a:r>
          <a:r>
            <a:rPr lang="pt-BR" sz="1400" baseline="0">
              <a:solidFill>
                <a:schemeClr val="tx1"/>
              </a:solidFill>
              <a:latin typeface="Arial Nova Cond" panose="020B0506020202020204" pitchFamily="34" charset="0"/>
            </a:rPr>
            <a:t> TABELAS</a:t>
          </a:r>
          <a:endParaRPr lang="pt-BR" sz="1400">
            <a:solidFill>
              <a:schemeClr val="tx1"/>
            </a:solidFill>
            <a:latin typeface="Arial Nova Cond" panose="020B0506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5</xdr:row>
      <xdr:rowOff>314325</xdr:rowOff>
    </xdr:from>
    <xdr:to>
      <xdr:col>2</xdr:col>
      <xdr:colOff>9524</xdr:colOff>
      <xdr:row>7</xdr:row>
      <xdr:rowOff>47625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F85A165-4C1C-4936-A4A4-7AC2EB404B84}"/>
            </a:ext>
          </a:extLst>
        </xdr:cNvPr>
        <xdr:cNvSpPr/>
      </xdr:nvSpPr>
      <xdr:spPr>
        <a:xfrm>
          <a:off x="0" y="2133600"/>
          <a:ext cx="1990724" cy="438150"/>
        </a:xfrm>
        <a:prstGeom prst="roundRect">
          <a:avLst>
            <a:gd name="adj" fmla="val 0"/>
          </a:avLst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2"/>
              </a:solidFill>
              <a:latin typeface="Arial Nova Cond" panose="020B0506020202020204" pitchFamily="34" charset="0"/>
            </a:rPr>
            <a:t>CCO</a:t>
          </a:r>
        </a:p>
      </xdr:txBody>
    </xdr:sp>
    <xdr:clientData/>
  </xdr:twoCellAnchor>
  <xdr:twoCellAnchor editAs="absolute">
    <xdr:from>
      <xdr:col>0</xdr:col>
      <xdr:colOff>0</xdr:colOff>
      <xdr:row>7</xdr:row>
      <xdr:rowOff>114300</xdr:rowOff>
    </xdr:from>
    <xdr:to>
      <xdr:col>2</xdr:col>
      <xdr:colOff>9524</xdr:colOff>
      <xdr:row>8</xdr:row>
      <xdr:rowOff>200025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DA9C0BA-7322-4658-984B-93CA5E9C30FB}"/>
            </a:ext>
          </a:extLst>
        </xdr:cNvPr>
        <xdr:cNvSpPr/>
      </xdr:nvSpPr>
      <xdr:spPr>
        <a:xfrm>
          <a:off x="0" y="2638425"/>
          <a:ext cx="1990724" cy="438150"/>
        </a:xfrm>
        <a:prstGeom prst="roundRect">
          <a:avLst>
            <a:gd name="adj" fmla="val 0"/>
          </a:avLst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>
                  <a:lumMod val="95000"/>
                </a:schemeClr>
              </a:solidFill>
              <a:latin typeface="Arial Nova Cond" panose="020B0506020202020204" pitchFamily="34" charset="0"/>
            </a:rPr>
            <a:t>SIN</a:t>
          </a:r>
        </a:p>
      </xdr:txBody>
    </xdr:sp>
    <xdr:clientData/>
  </xdr:twoCellAnchor>
  <xdr:twoCellAnchor editAs="absolute">
    <xdr:from>
      <xdr:col>0</xdr:col>
      <xdr:colOff>0</xdr:colOff>
      <xdr:row>8</xdr:row>
      <xdr:rowOff>266700</xdr:rowOff>
    </xdr:from>
    <xdr:to>
      <xdr:col>2</xdr:col>
      <xdr:colOff>9524</xdr:colOff>
      <xdr:row>10</xdr:row>
      <xdr:rowOff>238125</xdr:rowOff>
    </xdr:to>
    <xdr:sp macro="" textlink="">
      <xdr:nvSpPr>
        <xdr:cNvPr id="5" name="Retângulo: Canto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69D316B-B6A3-45AD-B8FF-B491EE132945}"/>
            </a:ext>
          </a:extLst>
        </xdr:cNvPr>
        <xdr:cNvSpPr/>
      </xdr:nvSpPr>
      <xdr:spPr>
        <a:xfrm>
          <a:off x="0" y="3143250"/>
          <a:ext cx="1990724" cy="438150"/>
        </a:xfrm>
        <a:prstGeom prst="roundRect">
          <a:avLst>
            <a:gd name="adj" fmla="val 0"/>
          </a:avLst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2"/>
              </a:solidFill>
              <a:latin typeface="Arial Nova Cond" panose="020B0506020202020204" pitchFamily="34" charset="0"/>
            </a:rPr>
            <a:t>Optativas</a:t>
          </a:r>
        </a:p>
      </xdr:txBody>
    </xdr:sp>
    <xdr:clientData/>
  </xdr:twoCellAnchor>
  <xdr:twoCellAnchor editAs="absolute">
    <xdr:from>
      <xdr:col>0</xdr:col>
      <xdr:colOff>0</xdr:colOff>
      <xdr:row>10</xdr:row>
      <xdr:rowOff>304800</xdr:rowOff>
    </xdr:from>
    <xdr:to>
      <xdr:col>2</xdr:col>
      <xdr:colOff>9524</xdr:colOff>
      <xdr:row>12</xdr:row>
      <xdr:rowOff>38100</xdr:rowOff>
    </xdr:to>
    <xdr:sp macro="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A917DDAA-2C7B-442F-BB23-E1277B7DB637}"/>
            </a:ext>
          </a:extLst>
        </xdr:cNvPr>
        <xdr:cNvSpPr/>
      </xdr:nvSpPr>
      <xdr:spPr>
        <a:xfrm>
          <a:off x="0" y="3648075"/>
          <a:ext cx="1990724" cy="438150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tx1"/>
              </a:solidFill>
              <a:latin typeface="Arial Nova Cond" panose="020B0506020202020204" pitchFamily="34" charset="0"/>
            </a:rPr>
            <a:t>Poscomp</a:t>
          </a:r>
        </a:p>
      </xdr:txBody>
    </xdr:sp>
    <xdr:clientData/>
  </xdr:twoCellAnchor>
  <xdr:twoCellAnchor editAs="absolute">
    <xdr:from>
      <xdr:col>2</xdr:col>
      <xdr:colOff>9526</xdr:colOff>
      <xdr:row>0</xdr:row>
      <xdr:rowOff>0</xdr:rowOff>
    </xdr:from>
    <xdr:to>
      <xdr:col>2</xdr:col>
      <xdr:colOff>1269526</xdr:colOff>
      <xdr:row>1</xdr:row>
      <xdr:rowOff>9525</xdr:rowOff>
    </xdr:to>
    <xdr:sp macro="" textlink="">
      <xdr:nvSpPr>
        <xdr:cNvPr id="7" name="Retângul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840566E-B3BF-4B96-ACDB-B667BAEBAB96}"/>
            </a:ext>
          </a:extLst>
        </xdr:cNvPr>
        <xdr:cNvSpPr/>
      </xdr:nvSpPr>
      <xdr:spPr>
        <a:xfrm>
          <a:off x="1990726" y="0"/>
          <a:ext cx="1260000" cy="419100"/>
        </a:xfrm>
        <a:prstGeom prst="rect">
          <a:avLst/>
        </a:prstGeom>
        <a:solidFill>
          <a:srgbClr val="1560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>
              <a:solidFill>
                <a:schemeClr val="bg1"/>
              </a:solidFill>
              <a:latin typeface="Arial Nova Cond" panose="020B0506020202020204" pitchFamily="34" charset="0"/>
            </a:rPr>
            <a:t>1º Semestre</a:t>
          </a:r>
        </a:p>
      </xdr:txBody>
    </xdr:sp>
    <xdr:clientData/>
  </xdr:twoCellAnchor>
  <xdr:twoCellAnchor editAs="absolute">
    <xdr:from>
      <xdr:col>2</xdr:col>
      <xdr:colOff>1268017</xdr:colOff>
      <xdr:row>0</xdr:row>
      <xdr:rowOff>0</xdr:rowOff>
    </xdr:from>
    <xdr:to>
      <xdr:col>3</xdr:col>
      <xdr:colOff>1108792</xdr:colOff>
      <xdr:row>1</xdr:row>
      <xdr:rowOff>9525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35D537B2-3428-4FC7-9158-FC898ADE38CE}"/>
            </a:ext>
          </a:extLst>
        </xdr:cNvPr>
        <xdr:cNvSpPr/>
      </xdr:nvSpPr>
      <xdr:spPr>
        <a:xfrm>
          <a:off x="3249217" y="0"/>
          <a:ext cx="1260000" cy="4191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  <a:latin typeface="Arial Nova Cond" panose="020B0506020202020204" pitchFamily="34" charset="0"/>
            </a:rPr>
            <a:t>2º Semestre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FCB1210-EA39-48DB-B27E-07C327BAD1F5}" name="Tabela2" displayName="Tabela2" ref="A1:E322" totalsRowShown="0">
  <autoFilter ref="A1:E322" xr:uid="{BFCB1210-EA39-48DB-B27E-07C327BAD1F5}"/>
  <sortState xmlns:xlrd2="http://schemas.microsoft.com/office/spreadsheetml/2017/richdata2" ref="A2:D322">
    <sortCondition ref="A1:A322"/>
  </sortState>
  <tableColumns count="5">
    <tableColumn id="1" xr3:uid="{9D799497-D6E3-4B3A-B4DA-6290E408AE64}" name="Curso"/>
    <tableColumn id="2" xr3:uid="{81C05BA4-3070-466C-894B-BAAF99B8192A}" name="Dia"/>
    <tableColumn id="3" xr3:uid="{2E9BC852-2692-4194-923F-5BF86E95A4B8}" name="Horário"/>
    <tableColumn id="4" xr3:uid="{A6FDF4AE-D760-4E63-95FA-58CEFA4347DB}" name="Disciplina"/>
    <tableColumn id="5" xr3:uid="{95FCFF90-1F1E-4BB0-8889-C649BB119384}" name="aux">
      <calculatedColumnFormula>Tabela2[[#This Row],[Curso]]&amp;Tabela2[[#This Row],[Dia]]&amp;Tabela2[[#This Row],[Horário]]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C23B1-399A-4373-A8E0-9155650A343B}">
  <sheetPr codeName="Planilha1"/>
  <dimension ref="A1:Z100"/>
  <sheetViews>
    <sheetView showGridLines="0" showRowColHeaders="0" tabSelected="1" workbookViewId="0">
      <selection activeCell="F18" sqref="F18"/>
    </sheetView>
  </sheetViews>
  <sheetFormatPr defaultColWidth="14.85546875" defaultRowHeight="27.75" customHeight="1" x14ac:dyDescent="0.25"/>
  <cols>
    <col min="1" max="2" width="14.85546875" style="2"/>
    <col min="3" max="10" width="21.28515625" style="2" customWidth="1"/>
    <col min="11" max="16384" width="14.85546875" style="2"/>
  </cols>
  <sheetData>
    <row r="1" spans="1:26" ht="32.2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27.75" customHeight="1" x14ac:dyDescent="0.25">
      <c r="A2" s="1"/>
      <c r="B2" s="1"/>
    </row>
    <row r="3" spans="1:26" ht="27.75" customHeight="1" x14ac:dyDescent="0.25">
      <c r="A3" s="1"/>
      <c r="B3" s="1"/>
      <c r="C3" s="10" t="s">
        <v>5</v>
      </c>
      <c r="E3" s="10">
        <v>1</v>
      </c>
      <c r="F3" s="10">
        <v>2</v>
      </c>
      <c r="G3" s="10">
        <v>3</v>
      </c>
      <c r="H3" s="10">
        <v>4</v>
      </c>
      <c r="I3" s="10">
        <v>5</v>
      </c>
    </row>
    <row r="4" spans="1:26" ht="27.75" customHeight="1" x14ac:dyDescent="0.25">
      <c r="A4" s="1"/>
      <c r="B4" s="1"/>
      <c r="D4" s="8"/>
      <c r="E4" s="9" t="s">
        <v>0</v>
      </c>
      <c r="F4" s="9" t="s">
        <v>1</v>
      </c>
      <c r="G4" s="9" t="s">
        <v>2</v>
      </c>
      <c r="H4" s="9" t="s">
        <v>3</v>
      </c>
      <c r="I4" s="9" t="s">
        <v>4</v>
      </c>
    </row>
    <row r="5" spans="1:26" ht="27.75" customHeight="1" x14ac:dyDescent="0.25">
      <c r="A5" s="1"/>
      <c r="B5" s="1"/>
      <c r="C5" s="10">
        <v>1</v>
      </c>
      <c r="D5" s="3">
        <v>0.29166666666666669</v>
      </c>
      <c r="E5" s="7" t="str">
        <f>IFERROR(INDEX(Tabela2[[Disciplina]:[Disciplina]],MATCH($C$3&amp;E$3&amp;$C5,Tabela2[[aux]:[aux]],0)),"-")</f>
        <v>-</v>
      </c>
      <c r="F5" s="7" t="str">
        <f>IFERROR(INDEX(Tabela2[[Disciplina]:[Disciplina]],MATCH($C$3&amp;F$3&amp;$C5,Tabela2[[aux]:[aux]],0)),"-")</f>
        <v>CAHC04C</v>
      </c>
      <c r="G5" s="7" t="str">
        <f>IFERROR(INDEX(Tabela2[[Disciplina]:[Disciplina]],MATCH($C$3&amp;G$3&amp;$C5,Tabela2[[aux]:[aux]],0)),"-")</f>
        <v>-</v>
      </c>
      <c r="H5" s="7" t="str">
        <f>IFERROR(INDEX(Tabela2[[Disciplina]:[Disciplina]],MATCH($C$3&amp;H$3&amp;$C5,Tabela2[[aux]:[aux]],0)),"-")</f>
        <v>XDES01C</v>
      </c>
      <c r="I5" s="7" t="str">
        <f>IFERROR(INDEX(Tabela2[[Disciplina]:[Disciplina]],MATCH($C$3&amp;I$3&amp;$C5,Tabela2[[aux]:[aux]],0)),"-")</f>
        <v>-</v>
      </c>
    </row>
    <row r="6" spans="1:26" ht="27.75" customHeight="1" x14ac:dyDescent="0.25">
      <c r="A6" s="1"/>
      <c r="B6" s="1"/>
      <c r="C6" s="10">
        <v>2</v>
      </c>
      <c r="D6" s="3">
        <v>0.3298611111111111</v>
      </c>
      <c r="E6" s="7" t="str">
        <f>IFERROR(INDEX(Tabela2[[Disciplina]:[Disciplina]],MATCH($C$3&amp;E$3&amp;$C6,Tabela2[[aux]:[aux]],0)),"-")</f>
        <v>-</v>
      </c>
      <c r="F6" s="7" t="str">
        <f>IFERROR(INDEX(Tabela2[[Disciplina]:[Disciplina]],MATCH($C$3&amp;F$3&amp;$C6,Tabela2[[aux]:[aux]],0)),"-")</f>
        <v>CAHC04C</v>
      </c>
      <c r="G6" s="7" t="str">
        <f>IFERROR(INDEX(Tabela2[[Disciplina]:[Disciplina]],MATCH($C$3&amp;G$3&amp;$C6,Tabela2[[aux]:[aux]],0)),"-")</f>
        <v>-</v>
      </c>
      <c r="H6" s="7" t="str">
        <f>IFERROR(INDEX(Tabela2[[Disciplina]:[Disciplina]],MATCH($C$3&amp;H$3&amp;$C6,Tabela2[[aux]:[aux]],0)),"-")</f>
        <v>XDES01C</v>
      </c>
      <c r="I6" s="7" t="str">
        <f>IFERROR(INDEX(Tabela2[[Disciplina]:[Disciplina]],MATCH($C$3&amp;I$3&amp;$C6,Tabela2[[aux]:[aux]],0)),"-")</f>
        <v>-</v>
      </c>
    </row>
    <row r="7" spans="1:26" ht="27.75" customHeight="1" x14ac:dyDescent="0.25">
      <c r="A7" s="1"/>
      <c r="B7" s="1"/>
      <c r="C7" s="10">
        <v>3</v>
      </c>
      <c r="D7" s="3">
        <v>0.36805555555555558</v>
      </c>
      <c r="E7" s="7" t="str">
        <f>IFERROR(INDEX(Tabela2[[Disciplina]:[Disciplina]],MATCH($C$3&amp;E$3&amp;$C7,Tabela2[[aux]:[aux]],0)),"-")</f>
        <v>-</v>
      </c>
      <c r="F7" s="7" t="str">
        <f>IFERROR(INDEX(Tabela2[[Disciplina]:[Disciplina]],MATCH($C$3&amp;F$3&amp;$C7,Tabela2[[aux]:[aux]],0)),"-")</f>
        <v>-</v>
      </c>
      <c r="G7" s="7" t="str">
        <f>IFERROR(INDEX(Tabela2[[Disciplina]:[Disciplina]],MATCH($C$3&amp;G$3&amp;$C7,Tabela2[[aux]:[aux]],0)),"-")</f>
        <v>-</v>
      </c>
      <c r="H7" s="7" t="str">
        <f>IFERROR(INDEX(Tabela2[[Disciplina]:[Disciplina]],MATCH($C$3&amp;H$3&amp;$C7,Tabela2[[aux]:[aux]],0)),"-")</f>
        <v>-</v>
      </c>
      <c r="I7" s="7" t="str">
        <f>IFERROR(INDEX(Tabela2[[Disciplina]:[Disciplina]],MATCH($C$3&amp;I$3&amp;$C7,Tabela2[[aux]:[aux]],0)),"-")</f>
        <v>-</v>
      </c>
    </row>
    <row r="8" spans="1:26" ht="27.75" customHeight="1" x14ac:dyDescent="0.25">
      <c r="A8" s="1"/>
      <c r="B8" s="1"/>
      <c r="C8" s="10">
        <v>4</v>
      </c>
      <c r="D8" s="3">
        <v>0.4236111111111111</v>
      </c>
      <c r="E8" s="7" t="str">
        <f>IFERROR(INDEX(Tabela2[[Disciplina]:[Disciplina]],MATCH($C$3&amp;E$3&amp;$C8,Tabela2[[aux]:[aux]],0)),"-")</f>
        <v>MAT00AC</v>
      </c>
      <c r="F8" s="7" t="str">
        <f>IFERROR(INDEX(Tabela2[[Disciplina]:[Disciplina]],MATCH($C$3&amp;F$3&amp;$C8,Tabela2[[aux]:[aux]],0)),"-")</f>
        <v>-</v>
      </c>
      <c r="G8" s="7" t="str">
        <f>IFERROR(INDEX(Tabela2[[Disciplina]:[Disciplina]],MATCH($C$3&amp;G$3&amp;$C8,Tabela2[[aux]:[aux]],0)),"-")</f>
        <v>-</v>
      </c>
      <c r="H8" s="7" t="str">
        <f>IFERROR(INDEX(Tabela2[[Disciplina]:[Disciplina]],MATCH($C$3&amp;H$3&amp;$C8,Tabela2[[aux]:[aux]],0)),"-")</f>
        <v>CRSC03C</v>
      </c>
      <c r="I8" s="7" t="str">
        <f>IFERROR(INDEX(Tabela2[[Disciplina]:[Disciplina]],MATCH($C$3&amp;I$3&amp;$C8,Tabela2[[aux]:[aux]],0)),"-")</f>
        <v>-</v>
      </c>
    </row>
    <row r="9" spans="1:26" ht="27.75" customHeight="1" x14ac:dyDescent="0.25">
      <c r="A9" s="1"/>
      <c r="B9" s="1"/>
      <c r="C9" s="10">
        <v>5</v>
      </c>
      <c r="D9" s="4">
        <v>0.46180555555555558</v>
      </c>
      <c r="E9" s="7" t="str">
        <f>IFERROR(INDEX(Tabela2[[Disciplina]:[Disciplina]],MATCH($C$3&amp;E$3&amp;$C9,Tabela2[[aux]:[aux]],0)),"-")</f>
        <v>MAT00AC</v>
      </c>
      <c r="F9" s="7" t="str">
        <f>IFERROR(INDEX(Tabela2[[Disciplina]:[Disciplina]],MATCH($C$3&amp;F$3&amp;$C9,Tabela2[[aux]:[aux]],0)),"-")</f>
        <v>-</v>
      </c>
      <c r="G9" s="7" t="str">
        <f>IFERROR(INDEX(Tabela2[[Disciplina]:[Disciplina]],MATCH($C$3&amp;G$3&amp;$C9,Tabela2[[aux]:[aux]],0)),"-")</f>
        <v>-</v>
      </c>
      <c r="H9" s="7" t="str">
        <f>IFERROR(INDEX(Tabela2[[Disciplina]:[Disciplina]],MATCH($C$3&amp;H$3&amp;$C9,Tabela2[[aux]:[aux]],0)),"-")</f>
        <v>CRSC03C</v>
      </c>
      <c r="I9" s="7" t="str">
        <f>IFERROR(INDEX(Tabela2[[Disciplina]:[Disciplina]],MATCH($C$3&amp;I$3&amp;$C9,Tabela2[[aux]:[aux]],0)),"-")</f>
        <v>MAT00AC</v>
      </c>
    </row>
    <row r="10" spans="1:26" ht="9" customHeight="1" x14ac:dyDescent="0.25">
      <c r="A10" s="1"/>
      <c r="B10" s="1"/>
      <c r="C10" s="10"/>
      <c r="D10" s="5"/>
      <c r="E10" s="7" t="str">
        <f>IFERROR(INDEX(Tabela2[[Disciplina]:[Disciplina]],MATCH($C$3&amp;E$3&amp;$C10,Tabela2[[aux]:[aux]],0)),"-")</f>
        <v>-</v>
      </c>
      <c r="F10" s="7" t="str">
        <f>IFERROR(INDEX(Tabela2[[Disciplina]:[Disciplina]],MATCH($C$3&amp;F$3&amp;$C10,Tabela2[[aux]:[aux]],0)),"-")</f>
        <v>-</v>
      </c>
      <c r="G10" s="7" t="str">
        <f>IFERROR(INDEX(Tabela2[[Disciplina]:[Disciplina]],MATCH($C$3&amp;G$3&amp;$C10,Tabela2[[aux]:[aux]],0)),"-")</f>
        <v>-</v>
      </c>
      <c r="H10" s="7" t="str">
        <f>IFERROR(INDEX(Tabela2[[Disciplina]:[Disciplina]],MATCH($C$3&amp;H$3&amp;$C10,Tabela2[[aux]:[aux]],0)),"-")</f>
        <v>-</v>
      </c>
      <c r="I10" s="7" t="str">
        <f>IFERROR(INDEX(Tabela2[[Disciplina]:[Disciplina]],MATCH($C$3&amp;I$3&amp;$C10,Tabela2[[aux]:[aux]],0)),"-")</f>
        <v>-</v>
      </c>
    </row>
    <row r="11" spans="1:26" ht="27.75" customHeight="1" x14ac:dyDescent="0.25">
      <c r="A11" s="1"/>
      <c r="B11" s="1"/>
      <c r="C11" s="10">
        <v>6</v>
      </c>
      <c r="D11" s="6">
        <v>0.5625</v>
      </c>
      <c r="E11" s="7" t="str">
        <f>IFERROR(INDEX(Tabela2[[Disciplina]:[Disciplina]],MATCH($C$3&amp;E$3&amp;$C11,Tabela2[[aux]:[aux]],0)),"-")</f>
        <v>-</v>
      </c>
      <c r="F11" s="7" t="str">
        <f>IFERROR(INDEX(Tabela2[[Disciplina]:[Disciplina]],MATCH($C$3&amp;F$3&amp;$C11,Tabela2[[aux]:[aux]],0)),"-")</f>
        <v>-</v>
      </c>
      <c r="G11" s="7" t="str">
        <f>IFERROR(INDEX(Tabela2[[Disciplina]:[Disciplina]],MATCH($C$3&amp;G$3&amp;$C11,Tabela2[[aux]:[aux]],0)),"-")</f>
        <v>-</v>
      </c>
      <c r="H11" s="7" t="str">
        <f>IFERROR(INDEX(Tabela2[[Disciplina]:[Disciplina]],MATCH($C$3&amp;H$3&amp;$C11,Tabela2[[aux]:[aux]],0)),"-")</f>
        <v>-</v>
      </c>
      <c r="I11" s="7" t="str">
        <f>IFERROR(INDEX(Tabela2[[Disciplina]:[Disciplina]],MATCH($C$3&amp;I$3&amp;$C11,Tabela2[[aux]:[aux]],0)),"-")</f>
        <v>MAT00AC</v>
      </c>
    </row>
    <row r="12" spans="1:26" ht="27.75" customHeight="1" x14ac:dyDescent="0.25">
      <c r="A12" s="1"/>
      <c r="B12" s="1"/>
      <c r="C12" s="10">
        <v>7</v>
      </c>
      <c r="D12" s="3">
        <v>0.60069444444444442</v>
      </c>
      <c r="E12" s="7" t="str">
        <f>IFERROR(INDEX(Tabela2[[Disciplina]:[Disciplina]],MATCH($C$3&amp;E$3&amp;$C12,Tabela2[[aux]:[aux]],0)),"-")</f>
        <v>XDES01C</v>
      </c>
      <c r="F12" s="7" t="str">
        <f>IFERROR(INDEX(Tabela2[[Disciplina]:[Disciplina]],MATCH($C$3&amp;F$3&amp;$C12,Tabela2[[aux]:[aux]],0)),"-")</f>
        <v>CRSC03C</v>
      </c>
      <c r="G12" s="7" t="str">
        <f>IFERROR(INDEX(Tabela2[[Disciplina]:[Disciplina]],MATCH($C$3&amp;G$3&amp;$C12,Tabela2[[aux]:[aux]],0)),"-")</f>
        <v>-</v>
      </c>
      <c r="H12" s="7" t="str">
        <f>IFERROR(INDEX(Tabela2[[Disciplina]:[Disciplina]],MATCH($C$3&amp;H$3&amp;$C12,Tabela2[[aux]:[aux]],0)),"-")</f>
        <v>-</v>
      </c>
      <c r="I12" s="7" t="str">
        <f>IFERROR(INDEX(Tabela2[[Disciplina]:[Disciplina]],MATCH($C$3&amp;I$3&amp;$C12,Tabela2[[aux]:[aux]],0)),"-")</f>
        <v>-</v>
      </c>
    </row>
    <row r="13" spans="1:26" ht="27.75" customHeight="1" x14ac:dyDescent="0.25">
      <c r="A13" s="1"/>
      <c r="B13" s="1"/>
      <c r="C13" s="10">
        <v>8</v>
      </c>
      <c r="D13" s="3">
        <v>0.65625</v>
      </c>
      <c r="E13" s="7" t="str">
        <f>IFERROR(INDEX(Tabela2[[Disciplina]:[Disciplina]],MATCH($C$3&amp;E$3&amp;$C13,Tabela2[[aux]:[aux]],0)),"-")</f>
        <v>XDES01C</v>
      </c>
      <c r="F13" s="7" t="str">
        <f>IFERROR(INDEX(Tabela2[[Disciplina]:[Disciplina]],MATCH($C$3&amp;F$3&amp;$C13,Tabela2[[aux]:[aux]],0)),"-")</f>
        <v>CRSC03C</v>
      </c>
      <c r="G13" s="7" t="str">
        <f>IFERROR(INDEX(Tabela2[[Disciplina]:[Disciplina]],MATCH($C$3&amp;G$3&amp;$C13,Tabela2[[aux]:[aux]],0)),"-")</f>
        <v>XMAC01C</v>
      </c>
      <c r="H13" s="7" t="str">
        <f>IFERROR(INDEX(Tabela2[[Disciplina]:[Disciplina]],MATCH($C$3&amp;H$3&amp;$C13,Tabela2[[aux]:[aux]],0)),"-")</f>
        <v>-</v>
      </c>
      <c r="I13" s="7" t="str">
        <f>IFERROR(INDEX(Tabela2[[Disciplina]:[Disciplina]],MATCH($C$3&amp;I$3&amp;$C13,Tabela2[[aux]:[aux]],0)),"-")</f>
        <v>-</v>
      </c>
    </row>
    <row r="14" spans="1:26" ht="27.75" customHeight="1" x14ac:dyDescent="0.25">
      <c r="A14" s="1"/>
      <c r="B14" s="1"/>
      <c r="C14" s="10">
        <v>9</v>
      </c>
      <c r="D14" s="3">
        <v>0.69444444444444442</v>
      </c>
      <c r="E14" s="7" t="str">
        <f>IFERROR(INDEX(Tabela2[[Disciplina]:[Disciplina]],MATCH($C$3&amp;E$3&amp;$C14,Tabela2[[aux]:[aux]],0)),"-")</f>
        <v>-</v>
      </c>
      <c r="F14" s="7" t="str">
        <f>IFERROR(INDEX(Tabela2[[Disciplina]:[Disciplina]],MATCH($C$3&amp;F$3&amp;$C14,Tabela2[[aux]:[aux]],0)),"-")</f>
        <v>-</v>
      </c>
      <c r="G14" s="7" t="str">
        <f>IFERROR(INDEX(Tabela2[[Disciplina]:[Disciplina]],MATCH($C$3&amp;G$3&amp;$C14,Tabela2[[aux]:[aux]],0)),"-")</f>
        <v>XMAC01C</v>
      </c>
      <c r="H14" s="7" t="str">
        <f>IFERROR(INDEX(Tabela2[[Disciplina]:[Disciplina]],MATCH($C$3&amp;H$3&amp;$C14,Tabela2[[aux]:[aux]],0)),"-")</f>
        <v>-</v>
      </c>
      <c r="I14" s="7" t="str">
        <f>IFERROR(INDEX(Tabela2[[Disciplina]:[Disciplina]],MATCH($C$3&amp;I$3&amp;$C14,Tabela2[[aux]:[aux]],0)),"-")</f>
        <v>XMAC01C</v>
      </c>
    </row>
    <row r="15" spans="1:26" ht="27.75" customHeight="1" x14ac:dyDescent="0.25">
      <c r="A15" s="1"/>
      <c r="B15" s="1"/>
      <c r="C15" s="10">
        <v>10</v>
      </c>
      <c r="D15" s="3">
        <v>0.73263888888888884</v>
      </c>
      <c r="E15" s="7" t="str">
        <f>IFERROR(INDEX(Tabela2[[Disciplina]:[Disciplina]],MATCH($C$3&amp;E$3&amp;$C15,Tabela2[[aux]:[aux]],0)),"-")</f>
        <v>-</v>
      </c>
      <c r="F15" s="7" t="str">
        <f>IFERROR(INDEX(Tabela2[[Disciplina]:[Disciplina]],MATCH($C$3&amp;F$3&amp;$C15,Tabela2[[aux]:[aux]],0)),"-")</f>
        <v>-</v>
      </c>
      <c r="G15" s="7" t="str">
        <f>IFERROR(INDEX(Tabela2[[Disciplina]:[Disciplina]],MATCH($C$3&amp;G$3&amp;$C15,Tabela2[[aux]:[aux]],0)),"-")</f>
        <v>-</v>
      </c>
      <c r="H15" s="7" t="str">
        <f>IFERROR(INDEX(Tabela2[[Disciplina]:[Disciplina]],MATCH($C$3&amp;H$3&amp;$C15,Tabela2[[aux]:[aux]],0)),"-")</f>
        <v>-</v>
      </c>
      <c r="I15" s="7" t="str">
        <f>IFERROR(INDEX(Tabela2[[Disciplina]:[Disciplina]],MATCH($C$3&amp;I$3&amp;$C15,Tabela2[[aux]:[aux]],0)),"-")</f>
        <v>XMAC01C</v>
      </c>
    </row>
    <row r="16" spans="1:26" ht="27.75" customHeight="1" x14ac:dyDescent="0.25">
      <c r="A16" s="1"/>
      <c r="B16" s="1"/>
    </row>
    <row r="17" spans="1:2" ht="27.75" customHeight="1" x14ac:dyDescent="0.25">
      <c r="A17" s="1"/>
      <c r="B17" s="1"/>
    </row>
    <row r="18" spans="1:2" ht="27.75" customHeight="1" x14ac:dyDescent="0.25">
      <c r="A18" s="1"/>
      <c r="B18" s="1"/>
    </row>
    <row r="19" spans="1:2" ht="27.75" customHeight="1" x14ac:dyDescent="0.25">
      <c r="A19" s="1"/>
      <c r="B19" s="1"/>
    </row>
    <row r="20" spans="1:2" ht="27.75" customHeight="1" x14ac:dyDescent="0.25">
      <c r="A20" s="1"/>
      <c r="B20" s="1"/>
    </row>
    <row r="21" spans="1:2" ht="27.75" customHeight="1" x14ac:dyDescent="0.25">
      <c r="A21" s="1"/>
      <c r="B21" s="1"/>
    </row>
    <row r="22" spans="1:2" ht="27.75" customHeight="1" x14ac:dyDescent="0.25">
      <c r="A22" s="1"/>
      <c r="B22" s="1"/>
    </row>
    <row r="23" spans="1:2" ht="27.75" customHeight="1" x14ac:dyDescent="0.25">
      <c r="A23" s="1"/>
      <c r="B23" s="1"/>
    </row>
    <row r="24" spans="1:2" ht="27.75" customHeight="1" x14ac:dyDescent="0.25">
      <c r="A24" s="1"/>
      <c r="B24" s="1"/>
    </row>
    <row r="25" spans="1:2" ht="27.75" customHeight="1" x14ac:dyDescent="0.25">
      <c r="A25" s="1"/>
      <c r="B25" s="1"/>
    </row>
    <row r="26" spans="1:2" ht="27.75" customHeight="1" x14ac:dyDescent="0.25">
      <c r="A26" s="1"/>
      <c r="B26" s="1"/>
    </row>
    <row r="27" spans="1:2" ht="27.75" customHeight="1" x14ac:dyDescent="0.25">
      <c r="A27" s="1"/>
      <c r="B27" s="1"/>
    </row>
    <row r="28" spans="1:2" ht="27.75" customHeight="1" x14ac:dyDescent="0.25">
      <c r="A28" s="1"/>
      <c r="B28" s="1"/>
    </row>
    <row r="29" spans="1:2" ht="27.75" customHeight="1" x14ac:dyDescent="0.25">
      <c r="A29" s="1"/>
      <c r="B29" s="1"/>
    </row>
    <row r="30" spans="1:2" ht="27.75" customHeight="1" x14ac:dyDescent="0.25">
      <c r="A30" s="1"/>
      <c r="B30" s="1"/>
    </row>
    <row r="31" spans="1:2" ht="27.75" customHeight="1" x14ac:dyDescent="0.25">
      <c r="A31" s="1"/>
      <c r="B31" s="1"/>
    </row>
    <row r="32" spans="1:2" ht="27.75" customHeight="1" x14ac:dyDescent="0.25">
      <c r="A32" s="1"/>
      <c r="B32" s="1"/>
    </row>
    <row r="33" spans="1:2" ht="27.75" customHeight="1" x14ac:dyDescent="0.25">
      <c r="A33" s="1"/>
      <c r="B33" s="1"/>
    </row>
    <row r="34" spans="1:2" ht="27.75" customHeight="1" x14ac:dyDescent="0.25">
      <c r="A34" s="1"/>
      <c r="B34" s="1"/>
    </row>
    <row r="35" spans="1:2" ht="27.75" customHeight="1" x14ac:dyDescent="0.25">
      <c r="A35" s="1"/>
      <c r="B35" s="1"/>
    </row>
    <row r="36" spans="1:2" ht="27.75" customHeight="1" x14ac:dyDescent="0.25">
      <c r="A36" s="1"/>
      <c r="B36" s="1"/>
    </row>
    <row r="37" spans="1:2" ht="27.75" customHeight="1" x14ac:dyDescent="0.25">
      <c r="A37" s="1"/>
      <c r="B37" s="1"/>
    </row>
    <row r="38" spans="1:2" ht="27.75" customHeight="1" x14ac:dyDescent="0.25">
      <c r="A38" s="1"/>
      <c r="B38" s="1"/>
    </row>
    <row r="39" spans="1:2" ht="27.75" customHeight="1" x14ac:dyDescent="0.25">
      <c r="A39" s="1"/>
      <c r="B39" s="1"/>
    </row>
    <row r="40" spans="1:2" ht="27.75" customHeight="1" x14ac:dyDescent="0.25">
      <c r="A40" s="1"/>
      <c r="B40" s="1"/>
    </row>
    <row r="41" spans="1:2" ht="27.75" customHeight="1" x14ac:dyDescent="0.25">
      <c r="A41" s="1"/>
      <c r="B41" s="1"/>
    </row>
    <row r="42" spans="1:2" ht="27.75" customHeight="1" x14ac:dyDescent="0.25">
      <c r="A42" s="1"/>
      <c r="B42" s="1"/>
    </row>
    <row r="43" spans="1:2" ht="27.75" customHeight="1" x14ac:dyDescent="0.25">
      <c r="A43" s="1"/>
      <c r="B43" s="1"/>
    </row>
    <row r="44" spans="1:2" ht="27.75" customHeight="1" x14ac:dyDescent="0.25">
      <c r="A44" s="1"/>
      <c r="B44" s="1"/>
    </row>
    <row r="45" spans="1:2" ht="27.75" customHeight="1" x14ac:dyDescent="0.25">
      <c r="A45" s="1"/>
      <c r="B45" s="1"/>
    </row>
    <row r="46" spans="1:2" ht="27.75" customHeight="1" x14ac:dyDescent="0.25">
      <c r="A46" s="1"/>
      <c r="B46" s="1"/>
    </row>
    <row r="47" spans="1:2" ht="27.75" customHeight="1" x14ac:dyDescent="0.25">
      <c r="A47" s="1"/>
      <c r="B47" s="1"/>
    </row>
    <row r="48" spans="1:2" ht="27.75" customHeight="1" x14ac:dyDescent="0.25">
      <c r="A48" s="1"/>
      <c r="B48" s="1"/>
    </row>
    <row r="49" spans="1:2" ht="27.75" customHeight="1" x14ac:dyDescent="0.25">
      <c r="A49" s="1"/>
      <c r="B49" s="1"/>
    </row>
    <row r="50" spans="1:2" ht="27.75" customHeight="1" x14ac:dyDescent="0.25">
      <c r="A50" s="1"/>
      <c r="B50" s="1"/>
    </row>
    <row r="51" spans="1:2" ht="27.75" customHeight="1" x14ac:dyDescent="0.25">
      <c r="A51" s="1"/>
      <c r="B51" s="1"/>
    </row>
    <row r="52" spans="1:2" ht="27.75" customHeight="1" x14ac:dyDescent="0.25">
      <c r="A52" s="1"/>
      <c r="B52" s="1"/>
    </row>
    <row r="53" spans="1:2" ht="27.75" customHeight="1" x14ac:dyDescent="0.25">
      <c r="A53" s="1"/>
      <c r="B53" s="1"/>
    </row>
    <row r="54" spans="1:2" ht="27.75" customHeight="1" x14ac:dyDescent="0.25">
      <c r="A54" s="1"/>
      <c r="B54" s="1"/>
    </row>
    <row r="55" spans="1:2" ht="27.75" customHeight="1" x14ac:dyDescent="0.25">
      <c r="A55" s="1"/>
      <c r="B55" s="1"/>
    </row>
    <row r="56" spans="1:2" ht="27.75" customHeight="1" x14ac:dyDescent="0.25">
      <c r="A56" s="1"/>
      <c r="B56" s="1"/>
    </row>
    <row r="57" spans="1:2" ht="27.75" customHeight="1" x14ac:dyDescent="0.25">
      <c r="A57" s="1"/>
      <c r="B57" s="1"/>
    </row>
    <row r="58" spans="1:2" ht="27.75" customHeight="1" x14ac:dyDescent="0.25">
      <c r="A58" s="1"/>
      <c r="B58" s="1"/>
    </row>
    <row r="59" spans="1:2" ht="27.75" customHeight="1" x14ac:dyDescent="0.25">
      <c r="A59" s="1"/>
      <c r="B59" s="1"/>
    </row>
    <row r="60" spans="1:2" ht="27.75" customHeight="1" x14ac:dyDescent="0.25">
      <c r="A60" s="1"/>
      <c r="B60" s="1"/>
    </row>
    <row r="61" spans="1:2" ht="27.75" customHeight="1" x14ac:dyDescent="0.25">
      <c r="A61" s="1"/>
      <c r="B61" s="1"/>
    </row>
    <row r="62" spans="1:2" ht="27.75" customHeight="1" x14ac:dyDescent="0.25">
      <c r="A62" s="1"/>
      <c r="B62" s="1"/>
    </row>
    <row r="63" spans="1:2" ht="27.75" customHeight="1" x14ac:dyDescent="0.25">
      <c r="A63" s="1"/>
      <c r="B63" s="1"/>
    </row>
    <row r="64" spans="1:2" ht="27.75" customHeight="1" x14ac:dyDescent="0.25">
      <c r="A64" s="1"/>
      <c r="B64" s="1"/>
    </row>
    <row r="65" spans="1:2" ht="27.75" customHeight="1" x14ac:dyDescent="0.25">
      <c r="A65" s="1"/>
      <c r="B65" s="1"/>
    </row>
    <row r="66" spans="1:2" ht="27.75" customHeight="1" x14ac:dyDescent="0.25">
      <c r="A66" s="1"/>
      <c r="B66" s="1"/>
    </row>
    <row r="67" spans="1:2" ht="27.75" customHeight="1" x14ac:dyDescent="0.25">
      <c r="A67" s="1"/>
      <c r="B67" s="1"/>
    </row>
    <row r="68" spans="1:2" ht="27.75" customHeight="1" x14ac:dyDescent="0.25">
      <c r="A68" s="1"/>
      <c r="B68" s="1"/>
    </row>
    <row r="69" spans="1:2" ht="27.75" customHeight="1" x14ac:dyDescent="0.25">
      <c r="A69" s="1"/>
      <c r="B69" s="1"/>
    </row>
    <row r="70" spans="1:2" ht="27.75" customHeight="1" x14ac:dyDescent="0.25">
      <c r="A70" s="1"/>
      <c r="B70" s="1"/>
    </row>
    <row r="71" spans="1:2" ht="27.75" customHeight="1" x14ac:dyDescent="0.25">
      <c r="A71" s="1"/>
      <c r="B71" s="1"/>
    </row>
    <row r="72" spans="1:2" ht="27.75" customHeight="1" x14ac:dyDescent="0.25">
      <c r="A72" s="1"/>
      <c r="B72" s="1"/>
    </row>
    <row r="73" spans="1:2" ht="27.75" customHeight="1" x14ac:dyDescent="0.25">
      <c r="A73" s="1"/>
      <c r="B73" s="1"/>
    </row>
    <row r="74" spans="1:2" ht="27.75" customHeight="1" x14ac:dyDescent="0.25">
      <c r="A74" s="1"/>
      <c r="B74" s="1"/>
    </row>
    <row r="75" spans="1:2" ht="27.75" customHeight="1" x14ac:dyDescent="0.25">
      <c r="A75" s="1"/>
      <c r="B75" s="1"/>
    </row>
    <row r="76" spans="1:2" ht="27.75" customHeight="1" x14ac:dyDescent="0.25">
      <c r="A76" s="1"/>
      <c r="B76" s="1"/>
    </row>
    <row r="77" spans="1:2" ht="27.75" customHeight="1" x14ac:dyDescent="0.25">
      <c r="A77" s="1"/>
      <c r="B77" s="1"/>
    </row>
    <row r="78" spans="1:2" ht="27.75" customHeight="1" x14ac:dyDescent="0.25">
      <c r="A78" s="1"/>
      <c r="B78" s="1"/>
    </row>
    <row r="79" spans="1:2" ht="27.75" customHeight="1" x14ac:dyDescent="0.25">
      <c r="A79" s="1"/>
      <c r="B79" s="1"/>
    </row>
    <row r="80" spans="1:2" ht="27.75" customHeight="1" x14ac:dyDescent="0.25">
      <c r="A80" s="1"/>
      <c r="B80" s="1"/>
    </row>
    <row r="81" spans="1:2" ht="27.75" customHeight="1" x14ac:dyDescent="0.25">
      <c r="A81" s="1"/>
      <c r="B81" s="1"/>
    </row>
    <row r="82" spans="1:2" ht="27.75" customHeight="1" x14ac:dyDescent="0.25">
      <c r="A82" s="1"/>
      <c r="B82" s="1"/>
    </row>
    <row r="83" spans="1:2" ht="27.75" customHeight="1" x14ac:dyDescent="0.25">
      <c r="A83" s="1"/>
      <c r="B83" s="1"/>
    </row>
    <row r="84" spans="1:2" ht="27.75" customHeight="1" x14ac:dyDescent="0.25">
      <c r="A84" s="1"/>
      <c r="B84" s="1"/>
    </row>
    <row r="85" spans="1:2" ht="27.75" customHeight="1" x14ac:dyDescent="0.25">
      <c r="A85" s="1"/>
      <c r="B85" s="1"/>
    </row>
    <row r="86" spans="1:2" ht="27.75" customHeight="1" x14ac:dyDescent="0.25">
      <c r="A86" s="1"/>
      <c r="B86" s="1"/>
    </row>
    <row r="87" spans="1:2" ht="27.75" customHeight="1" x14ac:dyDescent="0.25">
      <c r="A87" s="1"/>
      <c r="B87" s="1"/>
    </row>
    <row r="88" spans="1:2" ht="27.75" customHeight="1" x14ac:dyDescent="0.25">
      <c r="A88" s="1"/>
      <c r="B88" s="1"/>
    </row>
    <row r="89" spans="1:2" ht="27.75" customHeight="1" x14ac:dyDescent="0.25">
      <c r="A89" s="1"/>
      <c r="B89" s="1"/>
    </row>
    <row r="90" spans="1:2" ht="27.75" customHeight="1" x14ac:dyDescent="0.25">
      <c r="A90" s="1"/>
      <c r="B90" s="1"/>
    </row>
    <row r="91" spans="1:2" ht="27.75" customHeight="1" x14ac:dyDescent="0.25">
      <c r="A91" s="1"/>
      <c r="B91" s="1"/>
    </row>
    <row r="92" spans="1:2" ht="27.75" customHeight="1" x14ac:dyDescent="0.25">
      <c r="A92" s="1"/>
      <c r="B92" s="1"/>
    </row>
    <row r="93" spans="1:2" ht="27.75" customHeight="1" x14ac:dyDescent="0.25">
      <c r="A93" s="1"/>
      <c r="B93" s="1"/>
    </row>
    <row r="94" spans="1:2" ht="27.75" customHeight="1" x14ac:dyDescent="0.25">
      <c r="A94" s="1"/>
      <c r="B94" s="1"/>
    </row>
    <row r="95" spans="1:2" ht="27.75" customHeight="1" x14ac:dyDescent="0.25">
      <c r="A95" s="1"/>
      <c r="B95" s="1"/>
    </row>
    <row r="96" spans="1:2" ht="27.75" customHeight="1" x14ac:dyDescent="0.25">
      <c r="A96" s="1"/>
      <c r="B96" s="1"/>
    </row>
    <row r="97" spans="1:2" ht="27.75" customHeight="1" x14ac:dyDescent="0.25">
      <c r="A97" s="1"/>
      <c r="B97" s="1"/>
    </row>
    <row r="98" spans="1:2" ht="27.75" customHeight="1" x14ac:dyDescent="0.25">
      <c r="A98" s="1"/>
      <c r="B98" s="1"/>
    </row>
    <row r="99" spans="1:2" ht="27.75" customHeight="1" x14ac:dyDescent="0.25">
      <c r="A99" s="1"/>
      <c r="B99" s="1"/>
    </row>
    <row r="100" spans="1:2" ht="27.75" customHeight="1" x14ac:dyDescent="0.25">
      <c r="A100" s="1"/>
      <c r="B100" s="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D51BD0-7DC5-4106-A357-03F48F0C3898}">
  <sheetPr codeName="Planilha2"/>
  <dimension ref="A1:Z100"/>
  <sheetViews>
    <sheetView showGridLines="0" showRowColHeaders="0" workbookViewId="0">
      <selection activeCell="D11" sqref="D11:D15"/>
    </sheetView>
  </sheetViews>
  <sheetFormatPr defaultColWidth="14.85546875" defaultRowHeight="27.75" customHeight="1" x14ac:dyDescent="0.25"/>
  <cols>
    <col min="1" max="2" width="14.85546875" style="2"/>
    <col min="3" max="10" width="21.28515625" style="2" customWidth="1"/>
    <col min="11" max="16384" width="14.85546875" style="2"/>
  </cols>
  <sheetData>
    <row r="1" spans="1:26" ht="32.2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27.75" customHeight="1" x14ac:dyDescent="0.25">
      <c r="A2" s="1"/>
      <c r="B2" s="1"/>
    </row>
    <row r="3" spans="1:26" ht="27.75" customHeight="1" x14ac:dyDescent="0.25">
      <c r="A3" s="1"/>
      <c r="B3" s="1"/>
      <c r="C3" s="10" t="s">
        <v>9</v>
      </c>
      <c r="E3" s="10">
        <v>1</v>
      </c>
      <c r="F3" s="10">
        <v>2</v>
      </c>
      <c r="G3" s="10">
        <v>3</v>
      </c>
      <c r="H3" s="10">
        <v>4</v>
      </c>
      <c r="I3" s="10">
        <v>5</v>
      </c>
    </row>
    <row r="4" spans="1:26" ht="27.75" customHeight="1" x14ac:dyDescent="0.25">
      <c r="A4" s="1"/>
      <c r="B4" s="1"/>
      <c r="D4" s="8"/>
      <c r="E4" s="9" t="s">
        <v>0</v>
      </c>
      <c r="F4" s="9" t="s">
        <v>1</v>
      </c>
      <c r="G4" s="9" t="s">
        <v>2</v>
      </c>
      <c r="H4" s="9" t="s">
        <v>3</v>
      </c>
      <c r="I4" s="9" t="s">
        <v>4</v>
      </c>
    </row>
    <row r="5" spans="1:26" ht="27.75" customHeight="1" x14ac:dyDescent="0.25">
      <c r="A5" s="1"/>
      <c r="B5" s="1"/>
      <c r="C5" s="10">
        <v>1</v>
      </c>
      <c r="D5" s="3">
        <v>0.29166666666666669</v>
      </c>
      <c r="E5" s="7" t="str">
        <f>IFERROR(INDEX(Tabela2[[Disciplina]:[Disciplina]],MATCH($C$3&amp;E$3&amp;$C5,Tabela2[[aux]:[aux]],0)),"-")</f>
        <v>-</v>
      </c>
      <c r="F5" s="7" t="str">
        <f>IFERROR(INDEX(Tabela2[[Disciplina]:[Disciplina]],MATCH($C$3&amp;F$3&amp;$C5,Tabela2[[aux]:[aux]],0)),"-")</f>
        <v>-</v>
      </c>
      <c r="G5" s="7" t="str">
        <f>IFERROR(INDEX(Tabela2[[Disciplina]:[Disciplina]],MATCH($C$3&amp;G$3&amp;$C5,Tabela2[[aux]:[aux]],0)),"-")</f>
        <v>-</v>
      </c>
      <c r="H5" s="7" t="str">
        <f>IFERROR(INDEX(Tabela2[[Disciplina]:[Disciplina]],MATCH($C$3&amp;H$3&amp;$C5,Tabela2[[aux]:[aux]],0)),"-")</f>
        <v>CRSC04C</v>
      </c>
      <c r="I5" s="7" t="str">
        <f>IFERROR(INDEX(Tabela2[[Disciplina]:[Disciplina]],MATCH($C$3&amp;I$3&amp;$C5,Tabela2[[aux]:[aux]],0)),"-")</f>
        <v>-</v>
      </c>
    </row>
    <row r="6" spans="1:26" ht="27.75" customHeight="1" x14ac:dyDescent="0.25">
      <c r="A6" s="1"/>
      <c r="B6" s="1"/>
      <c r="C6" s="10">
        <v>2</v>
      </c>
      <c r="D6" s="3">
        <v>0.3298611111111111</v>
      </c>
      <c r="E6" s="7" t="str">
        <f>IFERROR(INDEX(Tabela2[[Disciplina]:[Disciplina]],MATCH($C$3&amp;E$3&amp;$C6,Tabela2[[aux]:[aux]],0)),"-")</f>
        <v>-</v>
      </c>
      <c r="F6" s="7" t="str">
        <f>IFERROR(INDEX(Tabela2[[Disciplina]:[Disciplina]],MATCH($C$3&amp;F$3&amp;$C6,Tabela2[[aux]:[aux]],0)),"-")</f>
        <v>MAT00BC</v>
      </c>
      <c r="G6" s="7" t="str">
        <f>IFERROR(INDEX(Tabela2[[Disciplina]:[Disciplina]],MATCH($C$3&amp;G$3&amp;$C6,Tabela2[[aux]:[aux]],0)),"-")</f>
        <v>-</v>
      </c>
      <c r="H6" s="7" t="str">
        <f>IFERROR(INDEX(Tabela2[[Disciplina]:[Disciplina]],MATCH($C$3&amp;H$3&amp;$C6,Tabela2[[aux]:[aux]],0)),"-")</f>
        <v>CRSC04C</v>
      </c>
      <c r="I6" s="7" t="str">
        <f>IFERROR(INDEX(Tabela2[[Disciplina]:[Disciplina]],MATCH($C$3&amp;I$3&amp;$C6,Tabela2[[aux]:[aux]],0)),"-")</f>
        <v>-</v>
      </c>
    </row>
    <row r="7" spans="1:26" ht="27.75" customHeight="1" x14ac:dyDescent="0.25">
      <c r="A7" s="1"/>
      <c r="B7" s="1"/>
      <c r="C7" s="10">
        <v>3</v>
      </c>
      <c r="D7" s="3">
        <v>0.36805555555555558</v>
      </c>
      <c r="E7" s="7" t="str">
        <f>IFERROR(INDEX(Tabela2[[Disciplina]:[Disciplina]],MATCH($C$3&amp;E$3&amp;$C7,Tabela2[[aux]:[aux]],0)),"-")</f>
        <v>MAT00BC</v>
      </c>
      <c r="F7" s="7" t="str">
        <f>IFERROR(INDEX(Tabela2[[Disciplina]:[Disciplina]],MATCH($C$3&amp;F$3&amp;$C7,Tabela2[[aux]:[aux]],0)),"-")</f>
        <v>MAT00BC</v>
      </c>
      <c r="G7" s="7" t="str">
        <f>IFERROR(INDEX(Tabela2[[Disciplina]:[Disciplina]],MATCH($C$3&amp;G$3&amp;$C7,Tabela2[[aux]:[aux]],0)),"-")</f>
        <v>CRSC04C</v>
      </c>
      <c r="H7" s="7" t="str">
        <f>IFERROR(INDEX(Tabela2[[Disciplina]:[Disciplina]],MATCH($C$3&amp;H$3&amp;$C7,Tabela2[[aux]:[aux]],0)),"-")</f>
        <v>-</v>
      </c>
      <c r="I7" s="7" t="str">
        <f>IFERROR(INDEX(Tabela2[[Disciplina]:[Disciplina]],MATCH($C$3&amp;I$3&amp;$C7,Tabela2[[aux]:[aux]],0)),"-")</f>
        <v>-</v>
      </c>
    </row>
    <row r="8" spans="1:26" ht="27.75" customHeight="1" x14ac:dyDescent="0.25">
      <c r="A8" s="1"/>
      <c r="B8" s="1"/>
      <c r="C8" s="10">
        <v>4</v>
      </c>
      <c r="D8" s="3">
        <v>0.4236111111111111</v>
      </c>
      <c r="E8" s="7" t="str">
        <f>IFERROR(INDEX(Tabela2[[Disciplina]:[Disciplina]],MATCH($C$3&amp;E$3&amp;$C8,Tabela2[[aux]:[aux]],0)),"-")</f>
        <v>MAT00BC</v>
      </c>
      <c r="F8" s="7" t="str">
        <f>IFERROR(INDEX(Tabela2[[Disciplina]:[Disciplina]],MATCH($C$3&amp;F$3&amp;$C8,Tabela2[[aux]:[aux]],0)),"-")</f>
        <v>IEPG21C</v>
      </c>
      <c r="G8" s="7" t="str">
        <f>IFERROR(INDEX(Tabela2[[Disciplina]:[Disciplina]],MATCH($C$3&amp;G$3&amp;$C8,Tabela2[[aux]:[aux]],0)),"-")</f>
        <v>CRSC04C</v>
      </c>
      <c r="H8" s="7" t="str">
        <f>IFERROR(INDEX(Tabela2[[Disciplina]:[Disciplina]],MATCH($C$3&amp;H$3&amp;$C8,Tabela2[[aux]:[aux]],0)),"-")</f>
        <v>-</v>
      </c>
      <c r="I8" s="7" t="str">
        <f>IFERROR(INDEX(Tabela2[[Disciplina]:[Disciplina]],MATCH($C$3&amp;I$3&amp;$C8,Tabela2[[aux]:[aux]],0)),"-")</f>
        <v>-</v>
      </c>
    </row>
    <row r="9" spans="1:26" ht="27.75" customHeight="1" x14ac:dyDescent="0.25">
      <c r="A9" s="1"/>
      <c r="B9" s="1"/>
      <c r="C9" s="10">
        <v>5</v>
      </c>
      <c r="D9" s="4">
        <v>0.46180555555555558</v>
      </c>
      <c r="E9" s="7" t="str">
        <f>IFERROR(INDEX(Tabela2[[Disciplina]:[Disciplina]],MATCH($C$3&amp;E$3&amp;$C9,Tabela2[[aux]:[aux]],0)),"-")</f>
        <v>CTCO01C</v>
      </c>
      <c r="F9" s="7" t="str">
        <f>IFERROR(INDEX(Tabela2[[Disciplina]:[Disciplina]],MATCH($C$3&amp;F$3&amp;$C9,Tabela2[[aux]:[aux]],0)),"-")</f>
        <v>-</v>
      </c>
      <c r="G9" s="7" t="str">
        <f>IFERROR(INDEX(Tabela2[[Disciplina]:[Disciplina]],MATCH($C$3&amp;G$3&amp;$C9,Tabela2[[aux]:[aux]],0)),"-")</f>
        <v>-</v>
      </c>
      <c r="H9" s="7" t="str">
        <f>IFERROR(INDEX(Tabela2[[Disciplina]:[Disciplina]],MATCH($C$3&amp;H$3&amp;$C9,Tabela2[[aux]:[aux]],0)),"-")</f>
        <v>CTCO01C</v>
      </c>
      <c r="I9" s="7" t="str">
        <f>IFERROR(INDEX(Tabela2[[Disciplina]:[Disciplina]],MATCH($C$3&amp;I$3&amp;$C9,Tabela2[[aux]:[aux]],0)),"-")</f>
        <v>-</v>
      </c>
    </row>
    <row r="10" spans="1:26" ht="9" customHeight="1" x14ac:dyDescent="0.25">
      <c r="A10" s="1"/>
      <c r="B10" s="1"/>
      <c r="C10" s="10"/>
      <c r="D10" s="5"/>
      <c r="E10" s="7" t="str">
        <f>IFERROR(INDEX(Tabela2[[Disciplina]:[Disciplina]],MATCH($C$3&amp;E$3&amp;$C10,Tabela2[[aux]:[aux]],0)),"-")</f>
        <v>-</v>
      </c>
      <c r="F10" s="7" t="str">
        <f>IFERROR(INDEX(Tabela2[[Disciplina]:[Disciplina]],MATCH($C$3&amp;F$3&amp;$C10,Tabela2[[aux]:[aux]],0)),"-")</f>
        <v>-</v>
      </c>
      <c r="G10" s="7" t="str">
        <f>IFERROR(INDEX(Tabela2[[Disciplina]:[Disciplina]],MATCH($C$3&amp;G$3&amp;$C10,Tabela2[[aux]:[aux]],0)),"-")</f>
        <v>-</v>
      </c>
      <c r="H10" s="7" t="str">
        <f>IFERROR(INDEX(Tabela2[[Disciplina]:[Disciplina]],MATCH($C$3&amp;H$3&amp;$C10,Tabela2[[aux]:[aux]],0)),"-")</f>
        <v>-</v>
      </c>
      <c r="I10" s="7" t="str">
        <f>IFERROR(INDEX(Tabela2[[Disciplina]:[Disciplina]],MATCH($C$3&amp;I$3&amp;$C10,Tabela2[[aux]:[aux]],0)),"-")</f>
        <v>-</v>
      </c>
    </row>
    <row r="11" spans="1:26" ht="27.75" customHeight="1" x14ac:dyDescent="0.25">
      <c r="A11" s="1"/>
      <c r="B11" s="1"/>
      <c r="C11" s="10">
        <v>6</v>
      </c>
      <c r="D11" s="6">
        <v>0.5625</v>
      </c>
      <c r="E11" s="7" t="str">
        <f>IFERROR(INDEX(Tabela2[[Disciplina]:[Disciplina]],MATCH($C$3&amp;E$3&amp;$C11,Tabela2[[aux]:[aux]],0)),"-")</f>
        <v>CTCO01C</v>
      </c>
      <c r="F11" s="7" t="str">
        <f>IFERROR(INDEX(Tabela2[[Disciplina]:[Disciplina]],MATCH($C$3&amp;F$3&amp;$C11,Tabela2[[aux]:[aux]],0)),"-")</f>
        <v>-</v>
      </c>
      <c r="G11" s="7" t="str">
        <f>IFERROR(INDEX(Tabela2[[Disciplina]:[Disciplina]],MATCH($C$3&amp;G$3&amp;$C11,Tabela2[[aux]:[aux]],0)),"-")</f>
        <v>-</v>
      </c>
      <c r="H11" s="7" t="str">
        <f>IFERROR(INDEX(Tabela2[[Disciplina]:[Disciplina]],MATCH($C$3&amp;H$3&amp;$C11,Tabela2[[aux]:[aux]],0)),"-")</f>
        <v>CTCO01C</v>
      </c>
      <c r="I11" s="7" t="str">
        <f>IFERROR(INDEX(Tabela2[[Disciplina]:[Disciplina]],MATCH($C$3&amp;I$3&amp;$C11,Tabela2[[aux]:[aux]],0)),"-")</f>
        <v>-</v>
      </c>
    </row>
    <row r="12" spans="1:26" ht="27.75" customHeight="1" x14ac:dyDescent="0.25">
      <c r="A12" s="1"/>
      <c r="B12" s="1"/>
      <c r="C12" s="10">
        <v>7</v>
      </c>
      <c r="D12" s="3">
        <v>0.60069444444444442</v>
      </c>
      <c r="E12" s="7" t="str">
        <f>IFERROR(INDEX(Tabela2[[Disciplina]:[Disciplina]],MATCH($C$3&amp;E$3&amp;$C12,Tabela2[[aux]:[aux]],0)),"-")</f>
        <v>-</v>
      </c>
      <c r="F12" s="7" t="str">
        <f>IFERROR(INDEX(Tabela2[[Disciplina]:[Disciplina]],MATCH($C$3&amp;F$3&amp;$C12,Tabela2[[aux]:[aux]],0)),"-")</f>
        <v>-</v>
      </c>
      <c r="G12" s="7" t="str">
        <f>IFERROR(INDEX(Tabela2[[Disciplina]:[Disciplina]],MATCH($C$3&amp;G$3&amp;$C12,Tabela2[[aux]:[aux]],0)),"-")</f>
        <v>-</v>
      </c>
      <c r="H12" s="7" t="str">
        <f>IFERROR(INDEX(Tabela2[[Disciplina]:[Disciplina]],MATCH($C$3&amp;H$3&amp;$C12,Tabela2[[aux]:[aux]],0)),"-")</f>
        <v>-</v>
      </c>
      <c r="I12" s="7" t="str">
        <f>IFERROR(INDEX(Tabela2[[Disciplina]:[Disciplina]],MATCH($C$3&amp;I$3&amp;$C12,Tabela2[[aux]:[aux]],0)),"-")</f>
        <v>-</v>
      </c>
    </row>
    <row r="13" spans="1:26" ht="27.75" customHeight="1" x14ac:dyDescent="0.25">
      <c r="A13" s="1"/>
      <c r="B13" s="1"/>
      <c r="C13" s="10">
        <v>8</v>
      </c>
      <c r="D13" s="3">
        <v>0.65625</v>
      </c>
      <c r="E13" s="7" t="str">
        <f>IFERROR(INDEX(Tabela2[[Disciplina]:[Disciplina]],MATCH($C$3&amp;E$3&amp;$C13,Tabela2[[aux]:[aux]],0)),"-")</f>
        <v>-</v>
      </c>
      <c r="F13" s="7" t="str">
        <f>IFERROR(INDEX(Tabela2[[Disciplina]:[Disciplina]],MATCH($C$3&amp;F$3&amp;$C13,Tabela2[[aux]:[aux]],0)),"-")</f>
        <v>-</v>
      </c>
      <c r="G13" s="7" t="str">
        <f>IFERROR(INDEX(Tabela2[[Disciplina]:[Disciplina]],MATCH($C$3&amp;G$3&amp;$C13,Tabela2[[aux]:[aux]],0)),"-")</f>
        <v>-</v>
      </c>
      <c r="H13" s="7" t="str">
        <f>IFERROR(INDEX(Tabela2[[Disciplina]:[Disciplina]],MATCH($C$3&amp;H$3&amp;$C13,Tabela2[[aux]:[aux]],0)),"-")</f>
        <v>-</v>
      </c>
      <c r="I13" s="7" t="str">
        <f>IFERROR(INDEX(Tabela2[[Disciplina]:[Disciplina]],MATCH($C$3&amp;I$3&amp;$C13,Tabela2[[aux]:[aux]],0)),"-")</f>
        <v>-</v>
      </c>
    </row>
    <row r="14" spans="1:26" ht="27.75" customHeight="1" x14ac:dyDescent="0.25">
      <c r="A14" s="1"/>
      <c r="B14" s="1"/>
      <c r="C14" s="10">
        <v>9</v>
      </c>
      <c r="D14" s="3">
        <v>0.69444444444444442</v>
      </c>
      <c r="E14" s="7" t="str">
        <f>IFERROR(INDEX(Tabela2[[Disciplina]:[Disciplina]],MATCH($C$3&amp;E$3&amp;$C14,Tabela2[[aux]:[aux]],0)),"-")</f>
        <v>IEPG21C</v>
      </c>
      <c r="F14" s="7" t="str">
        <f>IFERROR(INDEX(Tabela2[[Disciplina]:[Disciplina]],MATCH($C$3&amp;F$3&amp;$C14,Tabela2[[aux]:[aux]],0)),"-")</f>
        <v>CMAC04C</v>
      </c>
      <c r="G14" s="7" t="str">
        <f>IFERROR(INDEX(Tabela2[[Disciplina]:[Disciplina]],MATCH($C$3&amp;G$3&amp;$C14,Tabela2[[aux]:[aux]],0)),"-")</f>
        <v>-</v>
      </c>
      <c r="H14" s="7" t="str">
        <f>IFERROR(INDEX(Tabela2[[Disciplina]:[Disciplina]],MATCH($C$3&amp;H$3&amp;$C14,Tabela2[[aux]:[aux]],0)),"-")</f>
        <v>CMAC04C</v>
      </c>
      <c r="I14" s="7" t="str">
        <f>IFERROR(INDEX(Tabela2[[Disciplina]:[Disciplina]],MATCH($C$3&amp;I$3&amp;$C14,Tabela2[[aux]:[aux]],0)),"-")</f>
        <v>-</v>
      </c>
    </row>
    <row r="15" spans="1:26" ht="27.75" customHeight="1" x14ac:dyDescent="0.25">
      <c r="A15" s="1"/>
      <c r="B15" s="1"/>
      <c r="C15" s="10">
        <v>10</v>
      </c>
      <c r="D15" s="3">
        <v>0.73263888888888884</v>
      </c>
      <c r="E15" s="7" t="str">
        <f>IFERROR(INDEX(Tabela2[[Disciplina]:[Disciplina]],MATCH($C$3&amp;E$3&amp;$C15,Tabela2[[aux]:[aux]],0)),"-")</f>
        <v>IEPG21C</v>
      </c>
      <c r="F15" s="7" t="str">
        <f>IFERROR(INDEX(Tabela2[[Disciplina]:[Disciplina]],MATCH($C$3&amp;F$3&amp;$C15,Tabela2[[aux]:[aux]],0)),"-")</f>
        <v>CMAC04C</v>
      </c>
      <c r="G15" s="7" t="str">
        <f>IFERROR(INDEX(Tabela2[[Disciplina]:[Disciplina]],MATCH($C$3&amp;G$3&amp;$C15,Tabela2[[aux]:[aux]],0)),"-")</f>
        <v>-</v>
      </c>
      <c r="H15" s="7" t="str">
        <f>IFERROR(INDEX(Tabela2[[Disciplina]:[Disciplina]],MATCH($C$3&amp;H$3&amp;$C15,Tabela2[[aux]:[aux]],0)),"-")</f>
        <v>CMAC04C</v>
      </c>
      <c r="I15" s="7" t="str">
        <f>IFERROR(INDEX(Tabela2[[Disciplina]:[Disciplina]],MATCH($C$3&amp;I$3&amp;$C15,Tabela2[[aux]:[aux]],0)),"-")</f>
        <v>-</v>
      </c>
    </row>
    <row r="16" spans="1:26" ht="27.75" customHeight="1" x14ac:dyDescent="0.25">
      <c r="A16" s="1"/>
      <c r="B16" s="1"/>
    </row>
    <row r="17" spans="1:2" ht="27.75" customHeight="1" x14ac:dyDescent="0.25">
      <c r="A17" s="1"/>
      <c r="B17" s="1"/>
    </row>
    <row r="18" spans="1:2" ht="27.75" customHeight="1" x14ac:dyDescent="0.25">
      <c r="A18" s="1"/>
      <c r="B18" s="1"/>
    </row>
    <row r="19" spans="1:2" ht="27.75" customHeight="1" x14ac:dyDescent="0.25">
      <c r="A19" s="1"/>
      <c r="B19" s="1"/>
    </row>
    <row r="20" spans="1:2" ht="27.75" customHeight="1" x14ac:dyDescent="0.25">
      <c r="A20" s="1"/>
      <c r="B20" s="1"/>
    </row>
    <row r="21" spans="1:2" ht="27.75" customHeight="1" x14ac:dyDescent="0.25">
      <c r="A21" s="1"/>
      <c r="B21" s="1"/>
    </row>
    <row r="22" spans="1:2" ht="27.75" customHeight="1" x14ac:dyDescent="0.25">
      <c r="A22" s="1"/>
      <c r="B22" s="1"/>
    </row>
    <row r="23" spans="1:2" ht="27.75" customHeight="1" x14ac:dyDescent="0.25">
      <c r="A23" s="1"/>
      <c r="B23" s="1"/>
    </row>
    <row r="24" spans="1:2" ht="27.75" customHeight="1" x14ac:dyDescent="0.25">
      <c r="A24" s="1"/>
      <c r="B24" s="1"/>
    </row>
    <row r="25" spans="1:2" ht="27.75" customHeight="1" x14ac:dyDescent="0.25">
      <c r="A25" s="1"/>
      <c r="B25" s="1"/>
    </row>
    <row r="26" spans="1:2" ht="27.75" customHeight="1" x14ac:dyDescent="0.25">
      <c r="A26" s="1"/>
      <c r="B26" s="1"/>
    </row>
    <row r="27" spans="1:2" ht="27.75" customHeight="1" x14ac:dyDescent="0.25">
      <c r="A27" s="1"/>
      <c r="B27" s="1"/>
    </row>
    <row r="28" spans="1:2" ht="27.75" customHeight="1" x14ac:dyDescent="0.25">
      <c r="A28" s="1"/>
      <c r="B28" s="1"/>
    </row>
    <row r="29" spans="1:2" ht="27.75" customHeight="1" x14ac:dyDescent="0.25">
      <c r="A29" s="1"/>
      <c r="B29" s="1"/>
    </row>
    <row r="30" spans="1:2" ht="27.75" customHeight="1" x14ac:dyDescent="0.25">
      <c r="A30" s="1"/>
      <c r="B30" s="1"/>
    </row>
    <row r="31" spans="1:2" ht="27.75" customHeight="1" x14ac:dyDescent="0.25">
      <c r="A31" s="1"/>
      <c r="B31" s="1"/>
    </row>
    <row r="32" spans="1:2" ht="27.75" customHeight="1" x14ac:dyDescent="0.25">
      <c r="A32" s="1"/>
      <c r="B32" s="1"/>
    </row>
    <row r="33" spans="1:2" ht="27.75" customHeight="1" x14ac:dyDescent="0.25">
      <c r="A33" s="1"/>
      <c r="B33" s="1"/>
    </row>
    <row r="34" spans="1:2" ht="27.75" customHeight="1" x14ac:dyDescent="0.25">
      <c r="A34" s="1"/>
      <c r="B34" s="1"/>
    </row>
    <row r="35" spans="1:2" ht="27.75" customHeight="1" x14ac:dyDescent="0.25">
      <c r="A35" s="1"/>
      <c r="B35" s="1"/>
    </row>
    <row r="36" spans="1:2" ht="27.75" customHeight="1" x14ac:dyDescent="0.25">
      <c r="A36" s="1"/>
      <c r="B36" s="1"/>
    </row>
    <row r="37" spans="1:2" ht="27.75" customHeight="1" x14ac:dyDescent="0.25">
      <c r="A37" s="1"/>
      <c r="B37" s="1"/>
    </row>
    <row r="38" spans="1:2" ht="27.75" customHeight="1" x14ac:dyDescent="0.25">
      <c r="A38" s="1"/>
      <c r="B38" s="1"/>
    </row>
    <row r="39" spans="1:2" ht="27.75" customHeight="1" x14ac:dyDescent="0.25">
      <c r="A39" s="1"/>
      <c r="B39" s="1"/>
    </row>
    <row r="40" spans="1:2" ht="27.75" customHeight="1" x14ac:dyDescent="0.25">
      <c r="A40" s="1"/>
      <c r="B40" s="1"/>
    </row>
    <row r="41" spans="1:2" ht="27.75" customHeight="1" x14ac:dyDescent="0.25">
      <c r="A41" s="1"/>
      <c r="B41" s="1"/>
    </row>
    <row r="42" spans="1:2" ht="27.75" customHeight="1" x14ac:dyDescent="0.25">
      <c r="A42" s="1"/>
      <c r="B42" s="1"/>
    </row>
    <row r="43" spans="1:2" ht="27.75" customHeight="1" x14ac:dyDescent="0.25">
      <c r="A43" s="1"/>
      <c r="B43" s="1"/>
    </row>
    <row r="44" spans="1:2" ht="27.75" customHeight="1" x14ac:dyDescent="0.25">
      <c r="A44" s="1"/>
      <c r="B44" s="1"/>
    </row>
    <row r="45" spans="1:2" ht="27.75" customHeight="1" x14ac:dyDescent="0.25">
      <c r="A45" s="1"/>
      <c r="B45" s="1"/>
    </row>
    <row r="46" spans="1:2" ht="27.75" customHeight="1" x14ac:dyDescent="0.25">
      <c r="A46" s="1"/>
      <c r="B46" s="1"/>
    </row>
    <row r="47" spans="1:2" ht="27.75" customHeight="1" x14ac:dyDescent="0.25">
      <c r="A47" s="1"/>
      <c r="B47" s="1"/>
    </row>
    <row r="48" spans="1:2" ht="27.75" customHeight="1" x14ac:dyDescent="0.25">
      <c r="A48" s="1"/>
      <c r="B48" s="1"/>
    </row>
    <row r="49" spans="1:2" ht="27.75" customHeight="1" x14ac:dyDescent="0.25">
      <c r="A49" s="1"/>
      <c r="B49" s="1"/>
    </row>
    <row r="50" spans="1:2" ht="27.75" customHeight="1" x14ac:dyDescent="0.25">
      <c r="A50" s="1"/>
      <c r="B50" s="1"/>
    </row>
    <row r="51" spans="1:2" ht="27.75" customHeight="1" x14ac:dyDescent="0.25">
      <c r="A51" s="1"/>
      <c r="B51" s="1"/>
    </row>
    <row r="52" spans="1:2" ht="27.75" customHeight="1" x14ac:dyDescent="0.25">
      <c r="A52" s="1"/>
      <c r="B52" s="1"/>
    </row>
    <row r="53" spans="1:2" ht="27.75" customHeight="1" x14ac:dyDescent="0.25">
      <c r="A53" s="1"/>
      <c r="B53" s="1"/>
    </row>
    <row r="54" spans="1:2" ht="27.75" customHeight="1" x14ac:dyDescent="0.25">
      <c r="A54" s="1"/>
      <c r="B54" s="1"/>
    </row>
    <row r="55" spans="1:2" ht="27.75" customHeight="1" x14ac:dyDescent="0.25">
      <c r="A55" s="1"/>
      <c r="B55" s="1"/>
    </row>
    <row r="56" spans="1:2" ht="27.75" customHeight="1" x14ac:dyDescent="0.25">
      <c r="A56" s="1"/>
      <c r="B56" s="1"/>
    </row>
    <row r="57" spans="1:2" ht="27.75" customHeight="1" x14ac:dyDescent="0.25">
      <c r="A57" s="1"/>
      <c r="B57" s="1"/>
    </row>
    <row r="58" spans="1:2" ht="27.75" customHeight="1" x14ac:dyDescent="0.25">
      <c r="A58" s="1"/>
      <c r="B58" s="1"/>
    </row>
    <row r="59" spans="1:2" ht="27.75" customHeight="1" x14ac:dyDescent="0.25">
      <c r="A59" s="1"/>
      <c r="B59" s="1"/>
    </row>
    <row r="60" spans="1:2" ht="27.75" customHeight="1" x14ac:dyDescent="0.25">
      <c r="A60" s="1"/>
      <c r="B60" s="1"/>
    </row>
    <row r="61" spans="1:2" ht="27.75" customHeight="1" x14ac:dyDescent="0.25">
      <c r="A61" s="1"/>
      <c r="B61" s="1"/>
    </row>
    <row r="62" spans="1:2" ht="27.75" customHeight="1" x14ac:dyDescent="0.25">
      <c r="A62" s="1"/>
      <c r="B62" s="1"/>
    </row>
    <row r="63" spans="1:2" ht="27.75" customHeight="1" x14ac:dyDescent="0.25">
      <c r="A63" s="1"/>
      <c r="B63" s="1"/>
    </row>
    <row r="64" spans="1:2" ht="27.75" customHeight="1" x14ac:dyDescent="0.25">
      <c r="A64" s="1"/>
      <c r="B64" s="1"/>
    </row>
    <row r="65" spans="1:2" ht="27.75" customHeight="1" x14ac:dyDescent="0.25">
      <c r="A65" s="1"/>
      <c r="B65" s="1"/>
    </row>
    <row r="66" spans="1:2" ht="27.75" customHeight="1" x14ac:dyDescent="0.25">
      <c r="A66" s="1"/>
      <c r="B66" s="1"/>
    </row>
    <row r="67" spans="1:2" ht="27.75" customHeight="1" x14ac:dyDescent="0.25">
      <c r="A67" s="1"/>
      <c r="B67" s="1"/>
    </row>
    <row r="68" spans="1:2" ht="27.75" customHeight="1" x14ac:dyDescent="0.25">
      <c r="A68" s="1"/>
      <c r="B68" s="1"/>
    </row>
    <row r="69" spans="1:2" ht="27.75" customHeight="1" x14ac:dyDescent="0.25">
      <c r="A69" s="1"/>
      <c r="B69" s="1"/>
    </row>
    <row r="70" spans="1:2" ht="27.75" customHeight="1" x14ac:dyDescent="0.25">
      <c r="A70" s="1"/>
      <c r="B70" s="1"/>
    </row>
    <row r="71" spans="1:2" ht="27.75" customHeight="1" x14ac:dyDescent="0.25">
      <c r="A71" s="1"/>
      <c r="B71" s="1"/>
    </row>
    <row r="72" spans="1:2" ht="27.75" customHeight="1" x14ac:dyDescent="0.25">
      <c r="A72" s="1"/>
      <c r="B72" s="1"/>
    </row>
    <row r="73" spans="1:2" ht="27.75" customHeight="1" x14ac:dyDescent="0.25">
      <c r="A73" s="1"/>
      <c r="B73" s="1"/>
    </row>
    <row r="74" spans="1:2" ht="27.75" customHeight="1" x14ac:dyDescent="0.25">
      <c r="A74" s="1"/>
      <c r="B74" s="1"/>
    </row>
    <row r="75" spans="1:2" ht="27.75" customHeight="1" x14ac:dyDescent="0.25">
      <c r="A75" s="1"/>
      <c r="B75" s="1"/>
    </row>
    <row r="76" spans="1:2" ht="27.75" customHeight="1" x14ac:dyDescent="0.25">
      <c r="A76" s="1"/>
      <c r="B76" s="1"/>
    </row>
    <row r="77" spans="1:2" ht="27.75" customHeight="1" x14ac:dyDescent="0.25">
      <c r="A77" s="1"/>
      <c r="B77" s="1"/>
    </row>
    <row r="78" spans="1:2" ht="27.75" customHeight="1" x14ac:dyDescent="0.25">
      <c r="A78" s="1"/>
      <c r="B78" s="1"/>
    </row>
    <row r="79" spans="1:2" ht="27.75" customHeight="1" x14ac:dyDescent="0.25">
      <c r="A79" s="1"/>
      <c r="B79" s="1"/>
    </row>
    <row r="80" spans="1:2" ht="27.75" customHeight="1" x14ac:dyDescent="0.25">
      <c r="A80" s="1"/>
      <c r="B80" s="1"/>
    </row>
    <row r="81" spans="1:2" ht="27.75" customHeight="1" x14ac:dyDescent="0.25">
      <c r="A81" s="1"/>
      <c r="B81" s="1"/>
    </row>
    <row r="82" spans="1:2" ht="27.75" customHeight="1" x14ac:dyDescent="0.25">
      <c r="A82" s="1"/>
      <c r="B82" s="1"/>
    </row>
    <row r="83" spans="1:2" ht="27.75" customHeight="1" x14ac:dyDescent="0.25">
      <c r="A83" s="1"/>
      <c r="B83" s="1"/>
    </row>
    <row r="84" spans="1:2" ht="27.75" customHeight="1" x14ac:dyDescent="0.25">
      <c r="A84" s="1"/>
      <c r="B84" s="1"/>
    </row>
    <row r="85" spans="1:2" ht="27.75" customHeight="1" x14ac:dyDescent="0.25">
      <c r="A85" s="1"/>
      <c r="B85" s="1"/>
    </row>
    <row r="86" spans="1:2" ht="27.75" customHeight="1" x14ac:dyDescent="0.25">
      <c r="A86" s="1"/>
      <c r="B86" s="1"/>
    </row>
    <row r="87" spans="1:2" ht="27.75" customHeight="1" x14ac:dyDescent="0.25">
      <c r="A87" s="1"/>
      <c r="B87" s="1"/>
    </row>
    <row r="88" spans="1:2" ht="27.75" customHeight="1" x14ac:dyDescent="0.25">
      <c r="A88" s="1"/>
      <c r="B88" s="1"/>
    </row>
    <row r="89" spans="1:2" ht="27.75" customHeight="1" x14ac:dyDescent="0.25">
      <c r="A89" s="1"/>
      <c r="B89" s="1"/>
    </row>
    <row r="90" spans="1:2" ht="27.75" customHeight="1" x14ac:dyDescent="0.25">
      <c r="A90" s="1"/>
      <c r="B90" s="1"/>
    </row>
    <row r="91" spans="1:2" ht="27.75" customHeight="1" x14ac:dyDescent="0.25">
      <c r="A91" s="1"/>
      <c r="B91" s="1"/>
    </row>
    <row r="92" spans="1:2" ht="27.75" customHeight="1" x14ac:dyDescent="0.25">
      <c r="A92" s="1"/>
      <c r="B92" s="1"/>
    </row>
    <row r="93" spans="1:2" ht="27.75" customHeight="1" x14ac:dyDescent="0.25">
      <c r="A93" s="1"/>
      <c r="B93" s="1"/>
    </row>
    <row r="94" spans="1:2" ht="27.75" customHeight="1" x14ac:dyDescent="0.25">
      <c r="A94" s="1"/>
      <c r="B94" s="1"/>
    </row>
    <row r="95" spans="1:2" ht="27.75" customHeight="1" x14ac:dyDescent="0.25">
      <c r="A95" s="1"/>
      <c r="B95" s="1"/>
    </row>
    <row r="96" spans="1:2" ht="27.75" customHeight="1" x14ac:dyDescent="0.25">
      <c r="A96" s="1"/>
      <c r="B96" s="1"/>
    </row>
    <row r="97" spans="1:2" ht="27.75" customHeight="1" x14ac:dyDescent="0.25">
      <c r="A97" s="1"/>
      <c r="B97" s="1"/>
    </row>
    <row r="98" spans="1:2" ht="27.75" customHeight="1" x14ac:dyDescent="0.25">
      <c r="A98" s="1"/>
      <c r="B98" s="1"/>
    </row>
    <row r="99" spans="1:2" ht="27.75" customHeight="1" x14ac:dyDescent="0.25">
      <c r="A99" s="1"/>
      <c r="B99" s="1"/>
    </row>
    <row r="100" spans="1:2" ht="27.75" customHeight="1" x14ac:dyDescent="0.25">
      <c r="A100" s="1"/>
      <c r="B100" s="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FCCB7-BDDF-487A-9AE4-B56F3A298747}">
  <sheetPr codeName="Planilha3"/>
  <dimension ref="A1:Z100"/>
  <sheetViews>
    <sheetView showGridLines="0" showRowColHeaders="0" workbookViewId="0">
      <selection activeCell="D11" sqref="D11:D15"/>
    </sheetView>
  </sheetViews>
  <sheetFormatPr defaultColWidth="14.85546875" defaultRowHeight="27.75" customHeight="1" x14ac:dyDescent="0.25"/>
  <cols>
    <col min="1" max="2" width="14.85546875" style="2"/>
    <col min="3" max="10" width="21.28515625" style="2" customWidth="1"/>
    <col min="11" max="16384" width="14.85546875" style="2"/>
  </cols>
  <sheetData>
    <row r="1" spans="1:26" ht="32.2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27.75" customHeight="1" x14ac:dyDescent="0.25">
      <c r="A2" s="1"/>
      <c r="B2" s="1"/>
    </row>
    <row r="3" spans="1:26" ht="27.75" customHeight="1" x14ac:dyDescent="0.25">
      <c r="A3" s="1"/>
      <c r="B3" s="1"/>
      <c r="C3" s="10" t="s">
        <v>8</v>
      </c>
      <c r="E3" s="10">
        <v>1</v>
      </c>
      <c r="F3" s="10">
        <v>2</v>
      </c>
      <c r="G3" s="10">
        <v>3</v>
      </c>
      <c r="H3" s="10">
        <v>4</v>
      </c>
      <c r="I3" s="10">
        <v>5</v>
      </c>
    </row>
    <row r="4" spans="1:26" ht="27.75" customHeight="1" x14ac:dyDescent="0.25">
      <c r="A4" s="1"/>
      <c r="B4" s="1"/>
      <c r="D4" s="8"/>
      <c r="E4" s="9" t="s">
        <v>0</v>
      </c>
      <c r="F4" s="9" t="s">
        <v>1</v>
      </c>
      <c r="G4" s="9" t="s">
        <v>2</v>
      </c>
      <c r="H4" s="9" t="s">
        <v>3</v>
      </c>
      <c r="I4" s="9" t="s">
        <v>4</v>
      </c>
    </row>
    <row r="5" spans="1:26" ht="27.75" customHeight="1" x14ac:dyDescent="0.25">
      <c r="A5" s="1"/>
      <c r="B5" s="1"/>
      <c r="C5" s="10">
        <v>1</v>
      </c>
      <c r="D5" s="3">
        <v>0.29166666666666669</v>
      </c>
      <c r="E5" s="7" t="str">
        <f>IFERROR(INDEX(Tabela2[[Disciplina]:[Disciplina]],MATCH($C$3&amp;E$3&amp;$C5,Tabela2[[aux]:[aux]],0)),"-")</f>
        <v>-</v>
      </c>
      <c r="F5" s="7" t="str">
        <f>IFERROR(INDEX(Tabela2[[Disciplina]:[Disciplina]],MATCH($C$3&amp;F$3&amp;$C5,Tabela2[[aux]:[aux]],0)),"-")</f>
        <v>-</v>
      </c>
      <c r="G5" s="7" t="str">
        <f>IFERROR(INDEX(Tabela2[[Disciplina]:[Disciplina]],MATCH($C$3&amp;G$3&amp;$C5,Tabela2[[aux]:[aux]],0)),"-")</f>
        <v>XDES02C</v>
      </c>
      <c r="H5" s="7" t="str">
        <f>IFERROR(INDEX(Tabela2[[Disciplina]:[Disciplina]],MATCH($C$3&amp;H$3&amp;$C5,Tabela2[[aux]:[aux]],0)),"-")</f>
        <v>CTCO02C</v>
      </c>
      <c r="I5" s="7" t="str">
        <f>IFERROR(INDEX(Tabela2[[Disciplina]:[Disciplina]],MATCH($C$3&amp;I$3&amp;$C5,Tabela2[[aux]:[aux]],0)),"-")</f>
        <v>-</v>
      </c>
    </row>
    <row r="6" spans="1:26" ht="27.75" customHeight="1" x14ac:dyDescent="0.25">
      <c r="A6" s="1"/>
      <c r="B6" s="1"/>
      <c r="C6" s="10">
        <v>2</v>
      </c>
      <c r="D6" s="3">
        <v>0.3298611111111111</v>
      </c>
      <c r="E6" s="7" t="str">
        <f>IFERROR(INDEX(Tabela2[[Disciplina]:[Disciplina]],MATCH($C$3&amp;E$3&amp;$C6,Tabela2[[aux]:[aux]],0)),"-")</f>
        <v>-</v>
      </c>
      <c r="F6" s="7" t="str">
        <f>IFERROR(INDEX(Tabela2[[Disciplina]:[Disciplina]],MATCH($C$3&amp;F$3&amp;$C6,Tabela2[[aux]:[aux]],0)),"-")</f>
        <v>-</v>
      </c>
      <c r="G6" s="7" t="str">
        <f>IFERROR(INDEX(Tabela2[[Disciplina]:[Disciplina]],MATCH($C$3&amp;G$3&amp;$C6,Tabela2[[aux]:[aux]],0)),"-")</f>
        <v>XDES02C</v>
      </c>
      <c r="H6" s="7" t="str">
        <f>IFERROR(INDEX(Tabela2[[Disciplina]:[Disciplina]],MATCH($C$3&amp;H$3&amp;$C6,Tabela2[[aux]:[aux]],0)),"-")</f>
        <v>CTCO02C</v>
      </c>
      <c r="I6" s="7" t="str">
        <f>IFERROR(INDEX(Tabela2[[Disciplina]:[Disciplina]],MATCH($C$3&amp;I$3&amp;$C6,Tabela2[[aux]:[aux]],0)),"-")</f>
        <v>-</v>
      </c>
    </row>
    <row r="7" spans="1:26" ht="27.75" customHeight="1" x14ac:dyDescent="0.25">
      <c r="A7" s="1"/>
      <c r="B7" s="1"/>
      <c r="C7" s="10">
        <v>3</v>
      </c>
      <c r="D7" s="3">
        <v>0.36805555555555558</v>
      </c>
      <c r="E7" s="7" t="str">
        <f>IFERROR(INDEX(Tabela2[[Disciplina]:[Disciplina]],MATCH($C$3&amp;E$3&amp;$C7,Tabela2[[aux]:[aux]],0)),"-")</f>
        <v>-</v>
      </c>
      <c r="F7" s="7" t="str">
        <f>IFERROR(INDEX(Tabela2[[Disciplina]:[Disciplina]],MATCH($C$3&amp;F$3&amp;$C7,Tabela2[[aux]:[aux]],0)),"-")</f>
        <v>-</v>
      </c>
      <c r="G7" s="7" t="str">
        <f>IFERROR(INDEX(Tabela2[[Disciplina]:[Disciplina]],MATCH($C$3&amp;G$3&amp;$C7,Tabela2[[aux]:[aux]],0)),"-")</f>
        <v>-</v>
      </c>
      <c r="H7" s="7" t="str">
        <f>IFERROR(INDEX(Tabela2[[Disciplina]:[Disciplina]],MATCH($C$3&amp;H$3&amp;$C7,Tabela2[[aux]:[aux]],0)),"-")</f>
        <v>XDES02C</v>
      </c>
      <c r="I7" s="7" t="str">
        <f>IFERROR(INDEX(Tabela2[[Disciplina]:[Disciplina]],MATCH($C$3&amp;I$3&amp;$C7,Tabela2[[aux]:[aux]],0)),"-")</f>
        <v>-</v>
      </c>
    </row>
    <row r="8" spans="1:26" ht="27.75" customHeight="1" x14ac:dyDescent="0.25">
      <c r="A8" s="1"/>
      <c r="B8" s="1"/>
      <c r="C8" s="10">
        <v>4</v>
      </c>
      <c r="D8" s="3">
        <v>0.4236111111111111</v>
      </c>
      <c r="E8" s="7" t="str">
        <f>IFERROR(INDEX(Tabela2[[Disciplina]:[Disciplina]],MATCH($C$3&amp;E$3&amp;$C8,Tabela2[[aux]:[aux]],0)),"-")</f>
        <v>CMAC03C</v>
      </c>
      <c r="F8" s="7" t="str">
        <f>IFERROR(INDEX(Tabela2[[Disciplina]:[Disciplina]],MATCH($C$3&amp;F$3&amp;$C8,Tabela2[[aux]:[aux]],0)),"-")</f>
        <v>-</v>
      </c>
      <c r="G8" s="7" t="str">
        <f>IFERROR(INDEX(Tabela2[[Disciplina]:[Disciplina]],MATCH($C$3&amp;G$3&amp;$C8,Tabela2[[aux]:[aux]],0)),"-")</f>
        <v>-</v>
      </c>
      <c r="H8" s="7" t="str">
        <f>IFERROR(INDEX(Tabela2[[Disciplina]:[Disciplina]],MATCH($C$3&amp;H$3&amp;$C8,Tabela2[[aux]:[aux]],0)),"-")</f>
        <v>XDES02C</v>
      </c>
      <c r="I8" s="7" t="str">
        <f>IFERROR(INDEX(Tabela2[[Disciplina]:[Disciplina]],MATCH($C$3&amp;I$3&amp;$C8,Tabela2[[aux]:[aux]],0)),"-")</f>
        <v>-</v>
      </c>
    </row>
    <row r="9" spans="1:26" ht="27.75" customHeight="1" x14ac:dyDescent="0.25">
      <c r="A9" s="1"/>
      <c r="B9" s="1"/>
      <c r="C9" s="10">
        <v>5</v>
      </c>
      <c r="D9" s="4">
        <v>0.46180555555555558</v>
      </c>
      <c r="E9" s="7" t="str">
        <f>IFERROR(INDEX(Tabela2[[Disciplina]:[Disciplina]],MATCH($C$3&amp;E$3&amp;$C9,Tabela2[[aux]:[aux]],0)),"-")</f>
        <v>CMAC03C</v>
      </c>
      <c r="F9" s="7" t="str">
        <f>IFERROR(INDEX(Tabela2[[Disciplina]:[Disciplina]],MATCH($C$3&amp;F$3&amp;$C9,Tabela2[[aux]:[aux]],0)),"-")</f>
        <v>-</v>
      </c>
      <c r="G9" s="7" t="str">
        <f>IFERROR(INDEX(Tabela2[[Disciplina]:[Disciplina]],MATCH($C$3&amp;G$3&amp;$C9,Tabela2[[aux]:[aux]],0)),"-")</f>
        <v>CMAC03C</v>
      </c>
      <c r="H9" s="7" t="str">
        <f>IFERROR(INDEX(Tabela2[[Disciplina]:[Disciplina]],MATCH($C$3&amp;H$3&amp;$C9,Tabela2[[aux]:[aux]],0)),"-")</f>
        <v>-</v>
      </c>
      <c r="I9" s="7" t="str">
        <f>IFERROR(INDEX(Tabela2[[Disciplina]:[Disciplina]],MATCH($C$3&amp;I$3&amp;$C9,Tabela2[[aux]:[aux]],0)),"-")</f>
        <v>-</v>
      </c>
    </row>
    <row r="10" spans="1:26" ht="9" customHeight="1" x14ac:dyDescent="0.25">
      <c r="A10" s="1"/>
      <c r="B10" s="1"/>
      <c r="C10" s="10"/>
      <c r="D10" s="5"/>
      <c r="E10" s="7" t="str">
        <f>IFERROR(INDEX(Tabela2[[Disciplina]:[Disciplina]],MATCH($C$3&amp;E$3&amp;$C10,Tabela2[[aux]:[aux]],0)),"-")</f>
        <v>-</v>
      </c>
      <c r="F10" s="7" t="str">
        <f>IFERROR(INDEX(Tabela2[[Disciplina]:[Disciplina]],MATCH($C$3&amp;F$3&amp;$C10,Tabela2[[aux]:[aux]],0)),"-")</f>
        <v>-</v>
      </c>
      <c r="G10" s="7" t="str">
        <f>IFERROR(INDEX(Tabela2[[Disciplina]:[Disciplina]],MATCH($C$3&amp;G$3&amp;$C10,Tabela2[[aux]:[aux]],0)),"-")</f>
        <v>-</v>
      </c>
      <c r="H10" s="7" t="str">
        <f>IFERROR(INDEX(Tabela2[[Disciplina]:[Disciplina]],MATCH($C$3&amp;H$3&amp;$C10,Tabela2[[aux]:[aux]],0)),"-")</f>
        <v>-</v>
      </c>
      <c r="I10" s="7" t="str">
        <f>IFERROR(INDEX(Tabela2[[Disciplina]:[Disciplina]],MATCH($C$3&amp;I$3&amp;$C10,Tabela2[[aux]:[aux]],0)),"-")</f>
        <v>-</v>
      </c>
    </row>
    <row r="11" spans="1:26" ht="27.75" customHeight="1" x14ac:dyDescent="0.25">
      <c r="A11" s="1"/>
      <c r="B11" s="1"/>
      <c r="C11" s="10">
        <v>6</v>
      </c>
      <c r="D11" s="6">
        <v>0.5625</v>
      </c>
      <c r="E11" s="7" t="str">
        <f>IFERROR(INDEX(Tabela2[[Disciplina]:[Disciplina]],MATCH($C$3&amp;E$3&amp;$C11,Tabela2[[aux]:[aux]],0)),"-")</f>
        <v>-</v>
      </c>
      <c r="F11" s="7" t="str">
        <f>IFERROR(INDEX(Tabela2[[Disciplina]:[Disciplina]],MATCH($C$3&amp;F$3&amp;$C11,Tabela2[[aux]:[aux]],0)),"-")</f>
        <v>-</v>
      </c>
      <c r="G11" s="7" t="str">
        <f>IFERROR(INDEX(Tabela2[[Disciplina]:[Disciplina]],MATCH($C$3&amp;G$3&amp;$C11,Tabela2[[aux]:[aux]],0)),"-")</f>
        <v>CMAC03C</v>
      </c>
      <c r="H11" s="7" t="str">
        <f>IFERROR(INDEX(Tabela2[[Disciplina]:[Disciplina]],MATCH($C$3&amp;H$3&amp;$C11,Tabela2[[aux]:[aux]],0)),"-")</f>
        <v>XMAC02C</v>
      </c>
      <c r="I11" s="7" t="str">
        <f>IFERROR(INDEX(Tabela2[[Disciplina]:[Disciplina]],MATCH($C$3&amp;I$3&amp;$C11,Tabela2[[aux]:[aux]],0)),"-")</f>
        <v>-</v>
      </c>
    </row>
    <row r="12" spans="1:26" ht="27.75" customHeight="1" x14ac:dyDescent="0.25">
      <c r="A12" s="1"/>
      <c r="B12" s="1"/>
      <c r="C12" s="10">
        <v>7</v>
      </c>
      <c r="D12" s="3">
        <v>0.60069444444444442</v>
      </c>
      <c r="E12" s="7" t="str">
        <f>IFERROR(INDEX(Tabela2[[Disciplina]:[Disciplina]],MATCH($C$3&amp;E$3&amp;$C12,Tabela2[[aux]:[aux]],0)),"-")</f>
        <v>-</v>
      </c>
      <c r="F12" s="7" t="str">
        <f>IFERROR(INDEX(Tabela2[[Disciplina]:[Disciplina]],MATCH($C$3&amp;F$3&amp;$C12,Tabela2[[aux]:[aux]],0)),"-")</f>
        <v>-</v>
      </c>
      <c r="G12" s="7" t="str">
        <f>IFERROR(INDEX(Tabela2[[Disciplina]:[Disciplina]],MATCH($C$3&amp;G$3&amp;$C12,Tabela2[[aux]:[aux]],0)),"-")</f>
        <v>-</v>
      </c>
      <c r="H12" s="7" t="str">
        <f>IFERROR(INDEX(Tabela2[[Disciplina]:[Disciplina]],MATCH($C$3&amp;H$3&amp;$C12,Tabela2[[aux]:[aux]],0)),"-")</f>
        <v>XMAC02C</v>
      </c>
      <c r="I12" s="7" t="str">
        <f>IFERROR(INDEX(Tabela2[[Disciplina]:[Disciplina]],MATCH($C$3&amp;I$3&amp;$C12,Tabela2[[aux]:[aux]],0)),"-")</f>
        <v>CRSC02C</v>
      </c>
    </row>
    <row r="13" spans="1:26" ht="27.75" customHeight="1" x14ac:dyDescent="0.25">
      <c r="A13" s="1"/>
      <c r="B13" s="1"/>
      <c r="C13" s="10">
        <v>8</v>
      </c>
      <c r="D13" s="3">
        <v>0.65625</v>
      </c>
      <c r="E13" s="7" t="str">
        <f>IFERROR(INDEX(Tabela2[[Disciplina]:[Disciplina]],MATCH($C$3&amp;E$3&amp;$C13,Tabela2[[aux]:[aux]],0)),"-")</f>
        <v>-</v>
      </c>
      <c r="F13" s="7" t="str">
        <f>IFERROR(INDEX(Tabela2[[Disciplina]:[Disciplina]],MATCH($C$3&amp;F$3&amp;$C13,Tabela2[[aux]:[aux]],0)),"-")</f>
        <v>-</v>
      </c>
      <c r="G13" s="7" t="str">
        <f>IFERROR(INDEX(Tabela2[[Disciplina]:[Disciplina]],MATCH($C$3&amp;G$3&amp;$C13,Tabela2[[aux]:[aux]],0)),"-")</f>
        <v>-</v>
      </c>
      <c r="H13" s="7" t="str">
        <f>IFERROR(INDEX(Tabela2[[Disciplina]:[Disciplina]],MATCH($C$3&amp;H$3&amp;$C13,Tabela2[[aux]:[aux]],0)),"-")</f>
        <v>-</v>
      </c>
      <c r="I13" s="7" t="str">
        <f>IFERROR(INDEX(Tabela2[[Disciplina]:[Disciplina]],MATCH($C$3&amp;I$3&amp;$C13,Tabela2[[aux]:[aux]],0)),"-")</f>
        <v>CRSC02C</v>
      </c>
    </row>
    <row r="14" spans="1:26" ht="27.75" customHeight="1" x14ac:dyDescent="0.25">
      <c r="A14" s="1"/>
      <c r="B14" s="1"/>
      <c r="C14" s="10">
        <v>9</v>
      </c>
      <c r="D14" s="3">
        <v>0.69444444444444442</v>
      </c>
      <c r="E14" s="7" t="str">
        <f>IFERROR(INDEX(Tabela2[[Disciplina]:[Disciplina]],MATCH($C$3&amp;E$3&amp;$C14,Tabela2[[aux]:[aux]],0)),"-")</f>
        <v>XDES04C</v>
      </c>
      <c r="F14" s="7" t="str">
        <f>IFERROR(INDEX(Tabela2[[Disciplina]:[Disciplina]],MATCH($C$3&amp;F$3&amp;$C14,Tabela2[[aux]:[aux]],0)),"-")</f>
        <v>XMAC02C</v>
      </c>
      <c r="G14" s="7" t="str">
        <f>IFERROR(INDEX(Tabela2[[Disciplina]:[Disciplina]],MATCH($C$3&amp;G$3&amp;$C14,Tabela2[[aux]:[aux]],0)),"-")</f>
        <v>CRSC02C</v>
      </c>
      <c r="H14" s="7" t="str">
        <f>IFERROR(INDEX(Tabela2[[Disciplina]:[Disciplina]],MATCH($C$3&amp;H$3&amp;$C14,Tabela2[[aux]:[aux]],0)),"-")</f>
        <v>XDES04C</v>
      </c>
      <c r="I14" s="7" t="str">
        <f>IFERROR(INDEX(Tabela2[[Disciplina]:[Disciplina]],MATCH($C$3&amp;I$3&amp;$C14,Tabela2[[aux]:[aux]],0)),"-")</f>
        <v>CTCO02C</v>
      </c>
    </row>
    <row r="15" spans="1:26" ht="27.75" customHeight="1" x14ac:dyDescent="0.25">
      <c r="A15" s="1"/>
      <c r="B15" s="1"/>
      <c r="C15" s="10">
        <v>10</v>
      </c>
      <c r="D15" s="3">
        <v>0.73263888888888884</v>
      </c>
      <c r="E15" s="7" t="str">
        <f>IFERROR(INDEX(Tabela2[[Disciplina]:[Disciplina]],MATCH($C$3&amp;E$3&amp;$C15,Tabela2[[aux]:[aux]],0)),"-")</f>
        <v>XDES04C</v>
      </c>
      <c r="F15" s="7" t="str">
        <f>IFERROR(INDEX(Tabela2[[Disciplina]:[Disciplina]],MATCH($C$3&amp;F$3&amp;$C15,Tabela2[[aux]:[aux]],0)),"-")</f>
        <v>XMAC02C</v>
      </c>
      <c r="G15" s="7" t="str">
        <f>IFERROR(INDEX(Tabela2[[Disciplina]:[Disciplina]],MATCH($C$3&amp;G$3&amp;$C15,Tabela2[[aux]:[aux]],0)),"-")</f>
        <v>CRSC02C</v>
      </c>
      <c r="H15" s="7" t="str">
        <f>IFERROR(INDEX(Tabela2[[Disciplina]:[Disciplina]],MATCH($C$3&amp;H$3&amp;$C15,Tabela2[[aux]:[aux]],0)),"-")</f>
        <v>XDES04C</v>
      </c>
      <c r="I15" s="7" t="str">
        <f>IFERROR(INDEX(Tabela2[[Disciplina]:[Disciplina]],MATCH($C$3&amp;I$3&amp;$C15,Tabela2[[aux]:[aux]],0)),"-")</f>
        <v>CTCO02C</v>
      </c>
    </row>
    <row r="16" spans="1:26" ht="27.75" customHeight="1" x14ac:dyDescent="0.25">
      <c r="A16" s="1"/>
      <c r="B16" s="1"/>
    </row>
    <row r="17" spans="1:2" ht="27.75" customHeight="1" x14ac:dyDescent="0.25">
      <c r="A17" s="1"/>
      <c r="B17" s="1"/>
    </row>
    <row r="18" spans="1:2" ht="27.75" customHeight="1" x14ac:dyDescent="0.25">
      <c r="A18" s="1"/>
      <c r="B18" s="1"/>
    </row>
    <row r="19" spans="1:2" ht="27.75" customHeight="1" x14ac:dyDescent="0.25">
      <c r="A19" s="1"/>
      <c r="B19" s="1"/>
    </row>
    <row r="20" spans="1:2" ht="27.75" customHeight="1" x14ac:dyDescent="0.25">
      <c r="A20" s="1"/>
      <c r="B20" s="1"/>
    </row>
    <row r="21" spans="1:2" ht="27.75" customHeight="1" x14ac:dyDescent="0.25">
      <c r="A21" s="1"/>
      <c r="B21" s="1"/>
    </row>
    <row r="22" spans="1:2" ht="27.75" customHeight="1" x14ac:dyDescent="0.25">
      <c r="A22" s="1"/>
      <c r="B22" s="1"/>
    </row>
    <row r="23" spans="1:2" ht="27.75" customHeight="1" x14ac:dyDescent="0.25">
      <c r="A23" s="1"/>
      <c r="B23" s="1"/>
    </row>
    <row r="24" spans="1:2" ht="27.75" customHeight="1" x14ac:dyDescent="0.25">
      <c r="A24" s="1"/>
      <c r="B24" s="1"/>
    </row>
    <row r="25" spans="1:2" ht="27.75" customHeight="1" x14ac:dyDescent="0.25">
      <c r="A25" s="1"/>
      <c r="B25" s="1"/>
    </row>
    <row r="26" spans="1:2" ht="27.75" customHeight="1" x14ac:dyDescent="0.25">
      <c r="A26" s="1"/>
      <c r="B26" s="1"/>
    </row>
    <row r="27" spans="1:2" ht="27.75" customHeight="1" x14ac:dyDescent="0.25">
      <c r="A27" s="1"/>
      <c r="B27" s="1"/>
    </row>
    <row r="28" spans="1:2" ht="27.75" customHeight="1" x14ac:dyDescent="0.25">
      <c r="A28" s="1"/>
      <c r="B28" s="1"/>
    </row>
    <row r="29" spans="1:2" ht="27.75" customHeight="1" x14ac:dyDescent="0.25">
      <c r="A29" s="1"/>
      <c r="B29" s="1"/>
    </row>
    <row r="30" spans="1:2" ht="27.75" customHeight="1" x14ac:dyDescent="0.25">
      <c r="A30" s="1"/>
      <c r="B30" s="1"/>
    </row>
    <row r="31" spans="1:2" ht="27.75" customHeight="1" x14ac:dyDescent="0.25">
      <c r="A31" s="1"/>
      <c r="B31" s="1"/>
    </row>
    <row r="32" spans="1:2" ht="27.75" customHeight="1" x14ac:dyDescent="0.25">
      <c r="A32" s="1"/>
      <c r="B32" s="1"/>
    </row>
    <row r="33" spans="1:2" ht="27.75" customHeight="1" x14ac:dyDescent="0.25">
      <c r="A33" s="1"/>
      <c r="B33" s="1"/>
    </row>
    <row r="34" spans="1:2" ht="27.75" customHeight="1" x14ac:dyDescent="0.25">
      <c r="A34" s="1"/>
      <c r="B34" s="1"/>
    </row>
    <row r="35" spans="1:2" ht="27.75" customHeight="1" x14ac:dyDescent="0.25">
      <c r="A35" s="1"/>
      <c r="B35" s="1"/>
    </row>
    <row r="36" spans="1:2" ht="27.75" customHeight="1" x14ac:dyDescent="0.25">
      <c r="A36" s="1"/>
      <c r="B36" s="1"/>
    </row>
    <row r="37" spans="1:2" ht="27.75" customHeight="1" x14ac:dyDescent="0.25">
      <c r="A37" s="1"/>
      <c r="B37" s="1"/>
    </row>
    <row r="38" spans="1:2" ht="27.75" customHeight="1" x14ac:dyDescent="0.25">
      <c r="A38" s="1"/>
      <c r="B38" s="1"/>
    </row>
    <row r="39" spans="1:2" ht="27.75" customHeight="1" x14ac:dyDescent="0.25">
      <c r="A39" s="1"/>
      <c r="B39" s="1"/>
    </row>
    <row r="40" spans="1:2" ht="27.75" customHeight="1" x14ac:dyDescent="0.25">
      <c r="A40" s="1"/>
      <c r="B40" s="1"/>
    </row>
    <row r="41" spans="1:2" ht="27.75" customHeight="1" x14ac:dyDescent="0.25">
      <c r="A41" s="1"/>
      <c r="B41" s="1"/>
    </row>
    <row r="42" spans="1:2" ht="27.75" customHeight="1" x14ac:dyDescent="0.25">
      <c r="A42" s="1"/>
      <c r="B42" s="1"/>
    </row>
    <row r="43" spans="1:2" ht="27.75" customHeight="1" x14ac:dyDescent="0.25">
      <c r="A43" s="1"/>
      <c r="B43" s="1"/>
    </row>
    <row r="44" spans="1:2" ht="27.75" customHeight="1" x14ac:dyDescent="0.25">
      <c r="A44" s="1"/>
      <c r="B44" s="1"/>
    </row>
    <row r="45" spans="1:2" ht="27.75" customHeight="1" x14ac:dyDescent="0.25">
      <c r="A45" s="1"/>
      <c r="B45" s="1"/>
    </row>
    <row r="46" spans="1:2" ht="27.75" customHeight="1" x14ac:dyDescent="0.25">
      <c r="A46" s="1"/>
      <c r="B46" s="1"/>
    </row>
    <row r="47" spans="1:2" ht="27.75" customHeight="1" x14ac:dyDescent="0.25">
      <c r="A47" s="1"/>
      <c r="B47" s="1"/>
    </row>
    <row r="48" spans="1:2" ht="27.75" customHeight="1" x14ac:dyDescent="0.25">
      <c r="A48" s="1"/>
      <c r="B48" s="1"/>
    </row>
    <row r="49" spans="1:2" ht="27.75" customHeight="1" x14ac:dyDescent="0.25">
      <c r="A49" s="1"/>
      <c r="B49" s="1"/>
    </row>
    <row r="50" spans="1:2" ht="27.75" customHeight="1" x14ac:dyDescent="0.25">
      <c r="A50" s="1"/>
      <c r="B50" s="1"/>
    </row>
    <row r="51" spans="1:2" ht="27.75" customHeight="1" x14ac:dyDescent="0.25">
      <c r="A51" s="1"/>
      <c r="B51" s="1"/>
    </row>
    <row r="52" spans="1:2" ht="27.75" customHeight="1" x14ac:dyDescent="0.25">
      <c r="A52" s="1"/>
      <c r="B52" s="1"/>
    </row>
    <row r="53" spans="1:2" ht="27.75" customHeight="1" x14ac:dyDescent="0.25">
      <c r="A53" s="1"/>
      <c r="B53" s="1"/>
    </row>
    <row r="54" spans="1:2" ht="27.75" customHeight="1" x14ac:dyDescent="0.25">
      <c r="A54" s="1"/>
      <c r="B54" s="1"/>
    </row>
    <row r="55" spans="1:2" ht="27.75" customHeight="1" x14ac:dyDescent="0.25">
      <c r="A55" s="1"/>
      <c r="B55" s="1"/>
    </row>
    <row r="56" spans="1:2" ht="27.75" customHeight="1" x14ac:dyDescent="0.25">
      <c r="A56" s="1"/>
      <c r="B56" s="1"/>
    </row>
    <row r="57" spans="1:2" ht="27.75" customHeight="1" x14ac:dyDescent="0.25">
      <c r="A57" s="1"/>
      <c r="B57" s="1"/>
    </row>
    <row r="58" spans="1:2" ht="27.75" customHeight="1" x14ac:dyDescent="0.25">
      <c r="A58" s="1"/>
      <c r="B58" s="1"/>
    </row>
    <row r="59" spans="1:2" ht="27.75" customHeight="1" x14ac:dyDescent="0.25">
      <c r="A59" s="1"/>
      <c r="B59" s="1"/>
    </row>
    <row r="60" spans="1:2" ht="27.75" customHeight="1" x14ac:dyDescent="0.25">
      <c r="A60" s="1"/>
      <c r="B60" s="1"/>
    </row>
    <row r="61" spans="1:2" ht="27.75" customHeight="1" x14ac:dyDescent="0.25">
      <c r="A61" s="1"/>
      <c r="B61" s="1"/>
    </row>
    <row r="62" spans="1:2" ht="27.75" customHeight="1" x14ac:dyDescent="0.25">
      <c r="A62" s="1"/>
      <c r="B62" s="1"/>
    </row>
    <row r="63" spans="1:2" ht="27.75" customHeight="1" x14ac:dyDescent="0.25">
      <c r="A63" s="1"/>
      <c r="B63" s="1"/>
    </row>
    <row r="64" spans="1:2" ht="27.75" customHeight="1" x14ac:dyDescent="0.25">
      <c r="A64" s="1"/>
      <c r="B64" s="1"/>
    </row>
    <row r="65" spans="1:2" ht="27.75" customHeight="1" x14ac:dyDescent="0.25">
      <c r="A65" s="1"/>
      <c r="B65" s="1"/>
    </row>
    <row r="66" spans="1:2" ht="27.75" customHeight="1" x14ac:dyDescent="0.25">
      <c r="A66" s="1"/>
      <c r="B66" s="1"/>
    </row>
    <row r="67" spans="1:2" ht="27.75" customHeight="1" x14ac:dyDescent="0.25">
      <c r="A67" s="1"/>
      <c r="B67" s="1"/>
    </row>
    <row r="68" spans="1:2" ht="27.75" customHeight="1" x14ac:dyDescent="0.25">
      <c r="A68" s="1"/>
      <c r="B68" s="1"/>
    </row>
    <row r="69" spans="1:2" ht="27.75" customHeight="1" x14ac:dyDescent="0.25">
      <c r="A69" s="1"/>
      <c r="B69" s="1"/>
    </row>
    <row r="70" spans="1:2" ht="27.75" customHeight="1" x14ac:dyDescent="0.25">
      <c r="A70" s="1"/>
      <c r="B70" s="1"/>
    </row>
    <row r="71" spans="1:2" ht="27.75" customHeight="1" x14ac:dyDescent="0.25">
      <c r="A71" s="1"/>
      <c r="B71" s="1"/>
    </row>
    <row r="72" spans="1:2" ht="27.75" customHeight="1" x14ac:dyDescent="0.25">
      <c r="A72" s="1"/>
      <c r="B72" s="1"/>
    </row>
    <row r="73" spans="1:2" ht="27.75" customHeight="1" x14ac:dyDescent="0.25">
      <c r="A73" s="1"/>
      <c r="B73" s="1"/>
    </row>
    <row r="74" spans="1:2" ht="27.75" customHeight="1" x14ac:dyDescent="0.25">
      <c r="A74" s="1"/>
      <c r="B74" s="1"/>
    </row>
    <row r="75" spans="1:2" ht="27.75" customHeight="1" x14ac:dyDescent="0.25">
      <c r="A75" s="1"/>
      <c r="B75" s="1"/>
    </row>
    <row r="76" spans="1:2" ht="27.75" customHeight="1" x14ac:dyDescent="0.25">
      <c r="A76" s="1"/>
      <c r="B76" s="1"/>
    </row>
    <row r="77" spans="1:2" ht="27.75" customHeight="1" x14ac:dyDescent="0.25">
      <c r="A77" s="1"/>
      <c r="B77" s="1"/>
    </row>
    <row r="78" spans="1:2" ht="27.75" customHeight="1" x14ac:dyDescent="0.25">
      <c r="A78" s="1"/>
      <c r="B78" s="1"/>
    </row>
    <row r="79" spans="1:2" ht="27.75" customHeight="1" x14ac:dyDescent="0.25">
      <c r="A79" s="1"/>
      <c r="B79" s="1"/>
    </row>
    <row r="80" spans="1:2" ht="27.75" customHeight="1" x14ac:dyDescent="0.25">
      <c r="A80" s="1"/>
      <c r="B80" s="1"/>
    </row>
    <row r="81" spans="1:2" ht="27.75" customHeight="1" x14ac:dyDescent="0.25">
      <c r="A81" s="1"/>
      <c r="B81" s="1"/>
    </row>
    <row r="82" spans="1:2" ht="27.75" customHeight="1" x14ac:dyDescent="0.25">
      <c r="A82" s="1"/>
      <c r="B82" s="1"/>
    </row>
    <row r="83" spans="1:2" ht="27.75" customHeight="1" x14ac:dyDescent="0.25">
      <c r="A83" s="1"/>
      <c r="B83" s="1"/>
    </row>
    <row r="84" spans="1:2" ht="27.75" customHeight="1" x14ac:dyDescent="0.25">
      <c r="A84" s="1"/>
      <c r="B84" s="1"/>
    </row>
    <row r="85" spans="1:2" ht="27.75" customHeight="1" x14ac:dyDescent="0.25">
      <c r="A85" s="1"/>
      <c r="B85" s="1"/>
    </row>
    <row r="86" spans="1:2" ht="27.75" customHeight="1" x14ac:dyDescent="0.25">
      <c r="A86" s="1"/>
      <c r="B86" s="1"/>
    </row>
    <row r="87" spans="1:2" ht="27.75" customHeight="1" x14ac:dyDescent="0.25">
      <c r="A87" s="1"/>
      <c r="B87" s="1"/>
    </row>
    <row r="88" spans="1:2" ht="27.75" customHeight="1" x14ac:dyDescent="0.25">
      <c r="A88" s="1"/>
      <c r="B88" s="1"/>
    </row>
    <row r="89" spans="1:2" ht="27.75" customHeight="1" x14ac:dyDescent="0.25">
      <c r="A89" s="1"/>
      <c r="B89" s="1"/>
    </row>
    <row r="90" spans="1:2" ht="27.75" customHeight="1" x14ac:dyDescent="0.25">
      <c r="A90" s="1"/>
      <c r="B90" s="1"/>
    </row>
    <row r="91" spans="1:2" ht="27.75" customHeight="1" x14ac:dyDescent="0.25">
      <c r="A91" s="1"/>
      <c r="B91" s="1"/>
    </row>
    <row r="92" spans="1:2" ht="27.75" customHeight="1" x14ac:dyDescent="0.25">
      <c r="A92" s="1"/>
      <c r="B92" s="1"/>
    </row>
    <row r="93" spans="1:2" ht="27.75" customHeight="1" x14ac:dyDescent="0.25">
      <c r="A93" s="1"/>
      <c r="B93" s="1"/>
    </row>
    <row r="94" spans="1:2" ht="27.75" customHeight="1" x14ac:dyDescent="0.25">
      <c r="A94" s="1"/>
      <c r="B94" s="1"/>
    </row>
    <row r="95" spans="1:2" ht="27.75" customHeight="1" x14ac:dyDescent="0.25">
      <c r="A95" s="1"/>
      <c r="B95" s="1"/>
    </row>
    <row r="96" spans="1:2" ht="27.75" customHeight="1" x14ac:dyDescent="0.25">
      <c r="A96" s="1"/>
      <c r="B96" s="1"/>
    </row>
    <row r="97" spans="1:2" ht="27.75" customHeight="1" x14ac:dyDescent="0.25">
      <c r="A97" s="1"/>
      <c r="B97" s="1"/>
    </row>
    <row r="98" spans="1:2" ht="27.75" customHeight="1" x14ac:dyDescent="0.25">
      <c r="A98" s="1"/>
      <c r="B98" s="1"/>
    </row>
    <row r="99" spans="1:2" ht="27.75" customHeight="1" x14ac:dyDescent="0.25">
      <c r="A99" s="1"/>
      <c r="B99" s="1"/>
    </row>
    <row r="100" spans="1:2" ht="27.75" customHeight="1" x14ac:dyDescent="0.25">
      <c r="A100" s="1"/>
      <c r="B100" s="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1289D-1B93-45EB-9A59-EB1C70D7A0AD}">
  <sheetPr codeName="Planilha4"/>
  <dimension ref="A1:Z100"/>
  <sheetViews>
    <sheetView showGridLines="0" showRowColHeaders="0" workbookViewId="0">
      <selection activeCell="D11" sqref="D11:D15"/>
    </sheetView>
  </sheetViews>
  <sheetFormatPr defaultColWidth="14.85546875" defaultRowHeight="27.75" customHeight="1" x14ac:dyDescent="0.25"/>
  <cols>
    <col min="1" max="2" width="14.85546875" style="2"/>
    <col min="3" max="10" width="21.28515625" style="2" customWidth="1"/>
    <col min="11" max="16384" width="14.85546875" style="2"/>
  </cols>
  <sheetData>
    <row r="1" spans="1:26" ht="32.2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27.75" customHeight="1" x14ac:dyDescent="0.25">
      <c r="A2" s="1"/>
      <c r="B2" s="1"/>
    </row>
    <row r="3" spans="1:26" ht="27.75" customHeight="1" x14ac:dyDescent="0.25">
      <c r="A3" s="1"/>
      <c r="B3" s="1"/>
      <c r="C3" s="10" t="s">
        <v>13</v>
      </c>
      <c r="E3" s="10">
        <v>1</v>
      </c>
      <c r="F3" s="10">
        <v>2</v>
      </c>
      <c r="G3" s="10">
        <v>3</v>
      </c>
      <c r="H3" s="10">
        <v>4</v>
      </c>
      <c r="I3" s="10">
        <v>5</v>
      </c>
    </row>
    <row r="4" spans="1:26" ht="27.75" customHeight="1" x14ac:dyDescent="0.25">
      <c r="A4" s="1"/>
      <c r="B4" s="1"/>
      <c r="D4" s="8"/>
      <c r="E4" s="9" t="s">
        <v>0</v>
      </c>
      <c r="F4" s="9" t="s">
        <v>1</v>
      </c>
      <c r="G4" s="9" t="s">
        <v>2</v>
      </c>
      <c r="H4" s="9" t="s">
        <v>3</v>
      </c>
      <c r="I4" s="9" t="s">
        <v>4</v>
      </c>
    </row>
    <row r="5" spans="1:26" ht="27.75" customHeight="1" x14ac:dyDescent="0.25">
      <c r="A5" s="1"/>
      <c r="B5" s="1"/>
      <c r="C5" s="10">
        <v>1</v>
      </c>
      <c r="D5" s="3">
        <v>0.29166666666666669</v>
      </c>
      <c r="E5" s="7" t="str">
        <f>IFERROR(INDEX(Tabela2[[Disciplina]:[Disciplina]],MATCH($C$3&amp;E$3&amp;$C5,Tabela2[[aux]:[aux]],0)),"-")</f>
        <v>-</v>
      </c>
      <c r="F5" s="7" t="str">
        <f>IFERROR(INDEX(Tabela2[[Disciplina]:[Disciplina]],MATCH($C$3&amp;F$3&amp;$C5,Tabela2[[aux]:[aux]],0)),"-")</f>
        <v>CRSC05C</v>
      </c>
      <c r="G5" s="7" t="str">
        <f>IFERROR(INDEX(Tabela2[[Disciplina]:[Disciplina]],MATCH($C$3&amp;G$3&amp;$C5,Tabela2[[aux]:[aux]],0)),"-")</f>
        <v>CMAC05C</v>
      </c>
      <c r="H5" s="7" t="str">
        <f>IFERROR(INDEX(Tabela2[[Disciplina]:[Disciplina]],MATCH($C$3&amp;H$3&amp;$C5,Tabela2[[aux]:[aux]],0)),"-")</f>
        <v>XDES03C</v>
      </c>
      <c r="I5" s="7" t="str">
        <f>IFERROR(INDEX(Tabela2[[Disciplina]:[Disciplina]],MATCH($C$3&amp;I$3&amp;$C5,Tabela2[[aux]:[aux]],0)),"-")</f>
        <v>CMAC05C</v>
      </c>
    </row>
    <row r="6" spans="1:26" ht="27.75" customHeight="1" x14ac:dyDescent="0.25">
      <c r="A6" s="1"/>
      <c r="B6" s="1"/>
      <c r="C6" s="10">
        <v>2</v>
      </c>
      <c r="D6" s="3">
        <v>0.3298611111111111</v>
      </c>
      <c r="E6" s="7" t="str">
        <f>IFERROR(INDEX(Tabela2[[Disciplina]:[Disciplina]],MATCH($C$3&amp;E$3&amp;$C6,Tabela2[[aux]:[aux]],0)),"-")</f>
        <v>CDES05C</v>
      </c>
      <c r="F6" s="7" t="str">
        <f>IFERROR(INDEX(Tabela2[[Disciplina]:[Disciplina]],MATCH($C$3&amp;F$3&amp;$C6,Tabela2[[aux]:[aux]],0)),"-")</f>
        <v>CRSC05C</v>
      </c>
      <c r="G6" s="7" t="str">
        <f>IFERROR(INDEX(Tabela2[[Disciplina]:[Disciplina]],MATCH($C$3&amp;G$3&amp;$C6,Tabela2[[aux]:[aux]],0)),"-")</f>
        <v>XRSC01C</v>
      </c>
      <c r="H6" s="7" t="str">
        <f>IFERROR(INDEX(Tabela2[[Disciplina]:[Disciplina]],MATCH($C$3&amp;H$3&amp;$C6,Tabela2[[aux]:[aux]],0)),"-")</f>
        <v>XDES03C</v>
      </c>
      <c r="I6" s="7" t="str">
        <f>IFERROR(INDEX(Tabela2[[Disciplina]:[Disciplina]],MATCH($C$3&amp;I$3&amp;$C6,Tabela2[[aux]:[aux]],0)),"-")</f>
        <v>-</v>
      </c>
    </row>
    <row r="7" spans="1:26" ht="27.75" customHeight="1" x14ac:dyDescent="0.25">
      <c r="A7" s="1"/>
      <c r="B7" s="1"/>
      <c r="C7" s="10">
        <v>3</v>
      </c>
      <c r="D7" s="3">
        <v>0.36805555555555558</v>
      </c>
      <c r="E7" s="7" t="str">
        <f>IFERROR(INDEX(Tabela2[[Disciplina]:[Disciplina]],MATCH($C$3&amp;E$3&amp;$C7,Tabela2[[aux]:[aux]],0)),"-")</f>
        <v>CDES05C</v>
      </c>
      <c r="F7" s="7" t="str">
        <f>IFERROR(INDEX(Tabela2[[Disciplina]:[Disciplina]],MATCH($C$3&amp;F$3&amp;$C7,Tabela2[[aux]:[aux]],0)),"-")</f>
        <v>-</v>
      </c>
      <c r="G7" s="7" t="str">
        <f>IFERROR(INDEX(Tabela2[[Disciplina]:[Disciplina]],MATCH($C$3&amp;G$3&amp;$C7,Tabela2[[aux]:[aux]],0)),"-")</f>
        <v>XRSC01C</v>
      </c>
      <c r="H7" s="7" t="str">
        <f>IFERROR(INDEX(Tabela2[[Disciplina]:[Disciplina]],MATCH($C$3&amp;H$3&amp;$C7,Tabela2[[aux]:[aux]],0)),"-")</f>
        <v>-</v>
      </c>
      <c r="I7" s="7" t="str">
        <f>IFERROR(INDEX(Tabela2[[Disciplina]:[Disciplina]],MATCH($C$3&amp;I$3&amp;$C7,Tabela2[[aux]:[aux]],0)),"-")</f>
        <v>-</v>
      </c>
    </row>
    <row r="8" spans="1:26" ht="27.75" customHeight="1" x14ac:dyDescent="0.25">
      <c r="A8" s="1"/>
      <c r="B8" s="1"/>
      <c r="C8" s="10">
        <v>4</v>
      </c>
      <c r="D8" s="3">
        <v>0.4236111111111111</v>
      </c>
      <c r="E8" s="7" t="str">
        <f>IFERROR(INDEX(Tabela2[[Disciplina]:[Disciplina]],MATCH($C$3&amp;E$3&amp;$C8,Tabela2[[aux]:[aux]],0)),"-")</f>
        <v>CMAC05C</v>
      </c>
      <c r="F8" s="7" t="str">
        <f>IFERROR(INDEX(Tabela2[[Disciplina]:[Disciplina]],MATCH($C$3&amp;F$3&amp;$C8,Tabela2[[aux]:[aux]],0)),"-")</f>
        <v>-</v>
      </c>
      <c r="G8" s="7" t="str">
        <f>IFERROR(INDEX(Tabela2[[Disciplina]:[Disciplina]],MATCH($C$3&amp;G$3&amp;$C8,Tabela2[[aux]:[aux]],0)),"-")</f>
        <v>-</v>
      </c>
      <c r="H8" s="7" t="str">
        <f>IFERROR(INDEX(Tabela2[[Disciplina]:[Disciplina]],MATCH($C$3&amp;H$3&amp;$C8,Tabela2[[aux]:[aux]],0)),"-")</f>
        <v>-</v>
      </c>
      <c r="I8" s="7" t="str">
        <f>IFERROR(INDEX(Tabela2[[Disciplina]:[Disciplina]],MATCH($C$3&amp;I$3&amp;$C8,Tabela2[[aux]:[aux]],0)),"-")</f>
        <v>CDES05C</v>
      </c>
    </row>
    <row r="9" spans="1:26" ht="27.75" customHeight="1" x14ac:dyDescent="0.25">
      <c r="A9" s="1"/>
      <c r="B9" s="1"/>
      <c r="C9" s="10">
        <v>5</v>
      </c>
      <c r="D9" s="4">
        <v>0.46180555555555558</v>
      </c>
      <c r="E9" s="7" t="str">
        <f>IFERROR(INDEX(Tabela2[[Disciplina]:[Disciplina]],MATCH($C$3&amp;E$3&amp;$C9,Tabela2[[aux]:[aux]],0)),"-")</f>
        <v>CMAC05C</v>
      </c>
      <c r="F9" s="7" t="str">
        <f>IFERROR(INDEX(Tabela2[[Disciplina]:[Disciplina]],MATCH($C$3&amp;F$3&amp;$C9,Tabela2[[aux]:[aux]],0)),"-")</f>
        <v>-</v>
      </c>
      <c r="G9" s="7" t="str">
        <f>IFERROR(INDEX(Tabela2[[Disciplina]:[Disciplina]],MATCH($C$3&amp;G$3&amp;$C9,Tabela2[[aux]:[aux]],0)),"-")</f>
        <v>CRSC05C</v>
      </c>
      <c r="H9" s="7" t="str">
        <f>IFERROR(INDEX(Tabela2[[Disciplina]:[Disciplina]],MATCH($C$3&amp;H$3&amp;$C9,Tabela2[[aux]:[aux]],0)),"-")</f>
        <v>-</v>
      </c>
      <c r="I9" s="7" t="str">
        <f>IFERROR(INDEX(Tabela2[[Disciplina]:[Disciplina]],MATCH($C$3&amp;I$3&amp;$C9,Tabela2[[aux]:[aux]],0)),"-")</f>
        <v>CDES05C</v>
      </c>
    </row>
    <row r="10" spans="1:26" ht="9" customHeight="1" x14ac:dyDescent="0.25">
      <c r="A10" s="1"/>
      <c r="B10" s="1"/>
      <c r="C10" s="10"/>
      <c r="D10" s="5"/>
      <c r="E10" s="7" t="str">
        <f>IFERROR(INDEX(Tabela2[[Disciplina]:[Disciplina]],MATCH($C$3&amp;E$3&amp;$C10,Tabela2[[aux]:[aux]],0)),"-")</f>
        <v>-</v>
      </c>
      <c r="F10" s="7" t="str">
        <f>IFERROR(INDEX(Tabela2[[Disciplina]:[Disciplina]],MATCH($C$3&amp;F$3&amp;$C10,Tabela2[[aux]:[aux]],0)),"-")</f>
        <v>-</v>
      </c>
      <c r="G10" s="7" t="str">
        <f>IFERROR(INDEX(Tabela2[[Disciplina]:[Disciplina]],MATCH($C$3&amp;G$3&amp;$C10,Tabela2[[aux]:[aux]],0)),"-")</f>
        <v>-</v>
      </c>
      <c r="H10" s="7" t="str">
        <f>IFERROR(INDEX(Tabela2[[Disciplina]:[Disciplina]],MATCH($C$3&amp;H$3&amp;$C10,Tabela2[[aux]:[aux]],0)),"-")</f>
        <v>-</v>
      </c>
      <c r="I10" s="7" t="str">
        <f>IFERROR(INDEX(Tabela2[[Disciplina]:[Disciplina]],MATCH($C$3&amp;I$3&amp;$C10,Tabela2[[aux]:[aux]],0)),"-")</f>
        <v>-</v>
      </c>
    </row>
    <row r="11" spans="1:26" ht="27.75" customHeight="1" x14ac:dyDescent="0.25">
      <c r="A11" s="1"/>
      <c r="B11" s="1"/>
      <c r="C11" s="10">
        <v>6</v>
      </c>
      <c r="D11" s="6">
        <v>0.5625</v>
      </c>
      <c r="E11" s="7" t="str">
        <f>IFERROR(INDEX(Tabela2[[Disciplina]:[Disciplina]],MATCH($C$3&amp;E$3&amp;$C11,Tabela2[[aux]:[aux]],0)),"-")</f>
        <v>-</v>
      </c>
      <c r="F11" s="7" t="str">
        <f>IFERROR(INDEX(Tabela2[[Disciplina]:[Disciplina]],MATCH($C$3&amp;F$3&amp;$C11,Tabela2[[aux]:[aux]],0)),"-")</f>
        <v>-</v>
      </c>
      <c r="G11" s="7" t="str">
        <f>IFERROR(INDEX(Tabela2[[Disciplina]:[Disciplina]],MATCH($C$3&amp;G$3&amp;$C11,Tabela2[[aux]:[aux]],0)),"-")</f>
        <v>CTCO04C</v>
      </c>
      <c r="H11" s="7" t="str">
        <f>IFERROR(INDEX(Tabela2[[Disciplina]:[Disciplina]],MATCH($C$3&amp;H$3&amp;$C11,Tabela2[[aux]:[aux]],0)),"-")</f>
        <v>CTCO04C</v>
      </c>
      <c r="I11" s="7" t="str">
        <f>IFERROR(INDEX(Tabela2[[Disciplina]:[Disciplina]],MATCH($C$3&amp;I$3&amp;$C11,Tabela2[[aux]:[aux]],0)),"-")</f>
        <v>-</v>
      </c>
    </row>
    <row r="12" spans="1:26" ht="27.75" customHeight="1" x14ac:dyDescent="0.25">
      <c r="A12" s="1"/>
      <c r="B12" s="1"/>
      <c r="C12" s="10">
        <v>7</v>
      </c>
      <c r="D12" s="3">
        <v>0.60069444444444442</v>
      </c>
      <c r="E12" s="7" t="str">
        <f>IFERROR(INDEX(Tabela2[[Disciplina]:[Disciplina]],MATCH($C$3&amp;E$3&amp;$C12,Tabela2[[aux]:[aux]],0)),"-")</f>
        <v>-</v>
      </c>
      <c r="F12" s="7" t="str">
        <f>IFERROR(INDEX(Tabela2[[Disciplina]:[Disciplina]],MATCH($C$3&amp;F$3&amp;$C12,Tabela2[[aux]:[aux]],0)),"-")</f>
        <v>XDES03C</v>
      </c>
      <c r="G12" s="7" t="str">
        <f>IFERROR(INDEX(Tabela2[[Disciplina]:[Disciplina]],MATCH($C$3&amp;G$3&amp;$C12,Tabela2[[aux]:[aux]],0)),"-")</f>
        <v>CTCO04C</v>
      </c>
      <c r="H12" s="7" t="str">
        <f>IFERROR(INDEX(Tabela2[[Disciplina]:[Disciplina]],MATCH($C$3&amp;H$3&amp;$C12,Tabela2[[aux]:[aux]],0)),"-")</f>
        <v>CTCO04C</v>
      </c>
      <c r="I12" s="7" t="str">
        <f>IFERROR(INDEX(Tabela2[[Disciplina]:[Disciplina]],MATCH($C$3&amp;I$3&amp;$C12,Tabela2[[aux]:[aux]],0)),"-")</f>
        <v>-</v>
      </c>
    </row>
    <row r="13" spans="1:26" ht="27.75" customHeight="1" x14ac:dyDescent="0.25">
      <c r="A13" s="1"/>
      <c r="B13" s="1"/>
      <c r="C13" s="10">
        <v>8</v>
      </c>
      <c r="D13" s="3">
        <v>0.65625</v>
      </c>
      <c r="E13" s="7" t="str">
        <f>IFERROR(INDEX(Tabela2[[Disciplina]:[Disciplina]],MATCH($C$3&amp;E$3&amp;$C13,Tabela2[[aux]:[aux]],0)),"-")</f>
        <v>-</v>
      </c>
      <c r="F13" s="7" t="str">
        <f>IFERROR(INDEX(Tabela2[[Disciplina]:[Disciplina]],MATCH($C$3&amp;F$3&amp;$C13,Tabela2[[aux]:[aux]],0)),"-")</f>
        <v>XDES03C</v>
      </c>
      <c r="G13" s="7" t="str">
        <f>IFERROR(INDEX(Tabela2[[Disciplina]:[Disciplina]],MATCH($C$3&amp;G$3&amp;$C13,Tabela2[[aux]:[aux]],0)),"-")</f>
        <v>-</v>
      </c>
      <c r="H13" s="7" t="str">
        <f>IFERROR(INDEX(Tabela2[[Disciplina]:[Disciplina]],MATCH($C$3&amp;H$3&amp;$C13,Tabela2[[aux]:[aux]],0)),"-")</f>
        <v>-</v>
      </c>
      <c r="I13" s="7" t="str">
        <f>IFERROR(INDEX(Tabela2[[Disciplina]:[Disciplina]],MATCH($C$3&amp;I$3&amp;$C13,Tabela2[[aux]:[aux]],0)),"-")</f>
        <v>-</v>
      </c>
    </row>
    <row r="14" spans="1:26" ht="27.75" customHeight="1" x14ac:dyDescent="0.25">
      <c r="A14" s="1"/>
      <c r="B14" s="1"/>
      <c r="C14" s="10">
        <v>9</v>
      </c>
      <c r="D14" s="3">
        <v>0.69444444444444442</v>
      </c>
      <c r="E14" s="7" t="str">
        <f>IFERROR(INDEX(Tabela2[[Disciplina]:[Disciplina]],MATCH($C$3&amp;E$3&amp;$C14,Tabela2[[aux]:[aux]],0)),"-")</f>
        <v>-</v>
      </c>
      <c r="F14" s="7" t="str">
        <f>IFERROR(INDEX(Tabela2[[Disciplina]:[Disciplina]],MATCH($C$3&amp;F$3&amp;$C14,Tabela2[[aux]:[aux]],0)),"-")</f>
        <v>XRSC01C</v>
      </c>
      <c r="G14" s="7" t="str">
        <f>IFERROR(INDEX(Tabela2[[Disciplina]:[Disciplina]],MATCH($C$3&amp;G$3&amp;$C14,Tabela2[[aux]:[aux]],0)),"-")</f>
        <v>-</v>
      </c>
      <c r="H14" s="7" t="str">
        <f>IFERROR(INDEX(Tabela2[[Disciplina]:[Disciplina]],MATCH($C$3&amp;H$3&amp;$C14,Tabela2[[aux]:[aux]],0)),"-")</f>
        <v>CRSC05C</v>
      </c>
      <c r="I14" s="7" t="str">
        <f>IFERROR(INDEX(Tabela2[[Disciplina]:[Disciplina]],MATCH($C$3&amp;I$3&amp;$C14,Tabela2[[aux]:[aux]],0)),"-")</f>
        <v>-</v>
      </c>
    </row>
    <row r="15" spans="1:26" ht="27.75" customHeight="1" x14ac:dyDescent="0.25">
      <c r="A15" s="1"/>
      <c r="B15" s="1"/>
      <c r="C15" s="10">
        <v>10</v>
      </c>
      <c r="D15" s="3">
        <v>0.73263888888888884</v>
      </c>
      <c r="E15" s="7" t="str">
        <f>IFERROR(INDEX(Tabela2[[Disciplina]:[Disciplina]],MATCH($C$3&amp;E$3&amp;$C15,Tabela2[[aux]:[aux]],0)),"-")</f>
        <v>-</v>
      </c>
      <c r="F15" s="7" t="str">
        <f>IFERROR(INDEX(Tabela2[[Disciplina]:[Disciplina]],MATCH($C$3&amp;F$3&amp;$C15,Tabela2[[aux]:[aux]],0)),"-")</f>
        <v>XRSC01C</v>
      </c>
      <c r="G15" s="7" t="str">
        <f>IFERROR(INDEX(Tabela2[[Disciplina]:[Disciplina]],MATCH($C$3&amp;G$3&amp;$C15,Tabela2[[aux]:[aux]],0)),"-")</f>
        <v>-</v>
      </c>
      <c r="H15" s="7" t="str">
        <f>IFERROR(INDEX(Tabela2[[Disciplina]:[Disciplina]],MATCH($C$3&amp;H$3&amp;$C15,Tabela2[[aux]:[aux]],0)),"-")</f>
        <v>-</v>
      </c>
      <c r="I15" s="7" t="str">
        <f>IFERROR(INDEX(Tabela2[[Disciplina]:[Disciplina]],MATCH($C$3&amp;I$3&amp;$C15,Tabela2[[aux]:[aux]],0)),"-")</f>
        <v>-</v>
      </c>
    </row>
    <row r="16" spans="1:26" ht="27.75" customHeight="1" x14ac:dyDescent="0.25">
      <c r="A16" s="1"/>
      <c r="B16" s="1"/>
    </row>
    <row r="17" spans="1:2" ht="27.75" customHeight="1" x14ac:dyDescent="0.25">
      <c r="A17" s="1"/>
      <c r="B17" s="1"/>
    </row>
    <row r="18" spans="1:2" ht="27.75" customHeight="1" x14ac:dyDescent="0.25">
      <c r="A18" s="1"/>
      <c r="B18" s="1"/>
    </row>
    <row r="19" spans="1:2" ht="27.75" customHeight="1" x14ac:dyDescent="0.25">
      <c r="A19" s="1"/>
      <c r="B19" s="1"/>
    </row>
    <row r="20" spans="1:2" ht="27.75" customHeight="1" x14ac:dyDescent="0.25">
      <c r="A20" s="1"/>
      <c r="B20" s="1"/>
    </row>
    <row r="21" spans="1:2" ht="27.75" customHeight="1" x14ac:dyDescent="0.25">
      <c r="A21" s="1"/>
      <c r="B21" s="1"/>
    </row>
    <row r="22" spans="1:2" ht="27.75" customHeight="1" x14ac:dyDescent="0.25">
      <c r="A22" s="1"/>
      <c r="B22" s="1"/>
    </row>
    <row r="23" spans="1:2" ht="27.75" customHeight="1" x14ac:dyDescent="0.25">
      <c r="A23" s="1"/>
      <c r="B23" s="1"/>
    </row>
    <row r="24" spans="1:2" ht="27.75" customHeight="1" x14ac:dyDescent="0.25">
      <c r="A24" s="1"/>
      <c r="B24" s="1"/>
    </row>
    <row r="25" spans="1:2" ht="27.75" customHeight="1" x14ac:dyDescent="0.25">
      <c r="A25" s="1"/>
      <c r="B25" s="1"/>
    </row>
    <row r="26" spans="1:2" ht="27.75" customHeight="1" x14ac:dyDescent="0.25">
      <c r="A26" s="1"/>
      <c r="B26" s="1"/>
    </row>
    <row r="27" spans="1:2" ht="27.75" customHeight="1" x14ac:dyDescent="0.25">
      <c r="A27" s="1"/>
      <c r="B27" s="1"/>
    </row>
    <row r="28" spans="1:2" ht="27.75" customHeight="1" x14ac:dyDescent="0.25">
      <c r="A28" s="1"/>
      <c r="B28" s="1"/>
    </row>
    <row r="29" spans="1:2" ht="27.75" customHeight="1" x14ac:dyDescent="0.25">
      <c r="A29" s="1"/>
      <c r="B29" s="1"/>
    </row>
    <row r="30" spans="1:2" ht="27.75" customHeight="1" x14ac:dyDescent="0.25">
      <c r="A30" s="1"/>
      <c r="B30" s="1"/>
    </row>
    <row r="31" spans="1:2" ht="27.75" customHeight="1" x14ac:dyDescent="0.25">
      <c r="A31" s="1"/>
      <c r="B31" s="1"/>
    </row>
    <row r="32" spans="1:2" ht="27.75" customHeight="1" x14ac:dyDescent="0.25">
      <c r="A32" s="1"/>
      <c r="B32" s="1"/>
    </row>
    <row r="33" spans="1:2" ht="27.75" customHeight="1" x14ac:dyDescent="0.25">
      <c r="A33" s="1"/>
      <c r="B33" s="1"/>
    </row>
    <row r="34" spans="1:2" ht="27.75" customHeight="1" x14ac:dyDescent="0.25">
      <c r="A34" s="1"/>
      <c r="B34" s="1"/>
    </row>
    <row r="35" spans="1:2" ht="27.75" customHeight="1" x14ac:dyDescent="0.25">
      <c r="A35" s="1"/>
      <c r="B35" s="1"/>
    </row>
    <row r="36" spans="1:2" ht="27.75" customHeight="1" x14ac:dyDescent="0.25">
      <c r="A36" s="1"/>
      <c r="B36" s="1"/>
    </row>
    <row r="37" spans="1:2" ht="27.75" customHeight="1" x14ac:dyDescent="0.25">
      <c r="A37" s="1"/>
      <c r="B37" s="1"/>
    </row>
    <row r="38" spans="1:2" ht="27.75" customHeight="1" x14ac:dyDescent="0.25">
      <c r="A38" s="1"/>
      <c r="B38" s="1"/>
    </row>
    <row r="39" spans="1:2" ht="27.75" customHeight="1" x14ac:dyDescent="0.25">
      <c r="A39" s="1"/>
      <c r="B39" s="1"/>
    </row>
    <row r="40" spans="1:2" ht="27.75" customHeight="1" x14ac:dyDescent="0.25">
      <c r="A40" s="1"/>
      <c r="B40" s="1"/>
    </row>
    <row r="41" spans="1:2" ht="27.75" customHeight="1" x14ac:dyDescent="0.25">
      <c r="A41" s="1"/>
      <c r="B41" s="1"/>
    </row>
    <row r="42" spans="1:2" ht="27.75" customHeight="1" x14ac:dyDescent="0.25">
      <c r="A42" s="1"/>
      <c r="B42" s="1"/>
    </row>
    <row r="43" spans="1:2" ht="27.75" customHeight="1" x14ac:dyDescent="0.25">
      <c r="A43" s="1"/>
      <c r="B43" s="1"/>
    </row>
    <row r="44" spans="1:2" ht="27.75" customHeight="1" x14ac:dyDescent="0.25">
      <c r="A44" s="1"/>
      <c r="B44" s="1"/>
    </row>
    <row r="45" spans="1:2" ht="27.75" customHeight="1" x14ac:dyDescent="0.25">
      <c r="A45" s="1"/>
      <c r="B45" s="1"/>
    </row>
    <row r="46" spans="1:2" ht="27.75" customHeight="1" x14ac:dyDescent="0.25">
      <c r="A46" s="1"/>
      <c r="B46" s="1"/>
    </row>
    <row r="47" spans="1:2" ht="27.75" customHeight="1" x14ac:dyDescent="0.25">
      <c r="A47" s="1"/>
      <c r="B47" s="1"/>
    </row>
    <row r="48" spans="1:2" ht="27.75" customHeight="1" x14ac:dyDescent="0.25">
      <c r="A48" s="1"/>
      <c r="B48" s="1"/>
    </row>
    <row r="49" spans="1:2" ht="27.75" customHeight="1" x14ac:dyDescent="0.25">
      <c r="A49" s="1"/>
      <c r="B49" s="1"/>
    </row>
    <row r="50" spans="1:2" ht="27.75" customHeight="1" x14ac:dyDescent="0.25">
      <c r="A50" s="1"/>
      <c r="B50" s="1"/>
    </row>
    <row r="51" spans="1:2" ht="27.75" customHeight="1" x14ac:dyDescent="0.25">
      <c r="A51" s="1"/>
      <c r="B51" s="1"/>
    </row>
    <row r="52" spans="1:2" ht="27.75" customHeight="1" x14ac:dyDescent="0.25">
      <c r="A52" s="1"/>
      <c r="B52" s="1"/>
    </row>
    <row r="53" spans="1:2" ht="27.75" customHeight="1" x14ac:dyDescent="0.25">
      <c r="A53" s="1"/>
      <c r="B53" s="1"/>
    </row>
    <row r="54" spans="1:2" ht="27.75" customHeight="1" x14ac:dyDescent="0.25">
      <c r="A54" s="1"/>
      <c r="B54" s="1"/>
    </row>
    <row r="55" spans="1:2" ht="27.75" customHeight="1" x14ac:dyDescent="0.25">
      <c r="A55" s="1"/>
      <c r="B55" s="1"/>
    </row>
    <row r="56" spans="1:2" ht="27.75" customHeight="1" x14ac:dyDescent="0.25">
      <c r="A56" s="1"/>
      <c r="B56" s="1"/>
    </row>
    <row r="57" spans="1:2" ht="27.75" customHeight="1" x14ac:dyDescent="0.25">
      <c r="A57" s="1"/>
      <c r="B57" s="1"/>
    </row>
    <row r="58" spans="1:2" ht="27.75" customHeight="1" x14ac:dyDescent="0.25">
      <c r="A58" s="1"/>
      <c r="B58" s="1"/>
    </row>
    <row r="59" spans="1:2" ht="27.75" customHeight="1" x14ac:dyDescent="0.25">
      <c r="A59" s="1"/>
      <c r="B59" s="1"/>
    </row>
    <row r="60" spans="1:2" ht="27.75" customHeight="1" x14ac:dyDescent="0.25">
      <c r="A60" s="1"/>
      <c r="B60" s="1"/>
    </row>
    <row r="61" spans="1:2" ht="27.75" customHeight="1" x14ac:dyDescent="0.25">
      <c r="A61" s="1"/>
      <c r="B61" s="1"/>
    </row>
    <row r="62" spans="1:2" ht="27.75" customHeight="1" x14ac:dyDescent="0.25">
      <c r="A62" s="1"/>
      <c r="B62" s="1"/>
    </row>
    <row r="63" spans="1:2" ht="27.75" customHeight="1" x14ac:dyDescent="0.25">
      <c r="A63" s="1"/>
      <c r="B63" s="1"/>
    </row>
    <row r="64" spans="1:2" ht="27.75" customHeight="1" x14ac:dyDescent="0.25">
      <c r="A64" s="1"/>
      <c r="B64" s="1"/>
    </row>
    <row r="65" spans="1:2" ht="27.75" customHeight="1" x14ac:dyDescent="0.25">
      <c r="A65" s="1"/>
      <c r="B65" s="1"/>
    </row>
    <row r="66" spans="1:2" ht="27.75" customHeight="1" x14ac:dyDescent="0.25">
      <c r="A66" s="1"/>
      <c r="B66" s="1"/>
    </row>
    <row r="67" spans="1:2" ht="27.75" customHeight="1" x14ac:dyDescent="0.25">
      <c r="A67" s="1"/>
      <c r="B67" s="1"/>
    </row>
    <row r="68" spans="1:2" ht="27.75" customHeight="1" x14ac:dyDescent="0.25">
      <c r="A68" s="1"/>
      <c r="B68" s="1"/>
    </row>
    <row r="69" spans="1:2" ht="27.75" customHeight="1" x14ac:dyDescent="0.25">
      <c r="A69" s="1"/>
      <c r="B69" s="1"/>
    </row>
    <row r="70" spans="1:2" ht="27.75" customHeight="1" x14ac:dyDescent="0.25">
      <c r="A70" s="1"/>
      <c r="B70" s="1"/>
    </row>
    <row r="71" spans="1:2" ht="27.75" customHeight="1" x14ac:dyDescent="0.25">
      <c r="A71" s="1"/>
      <c r="B71" s="1"/>
    </row>
    <row r="72" spans="1:2" ht="27.75" customHeight="1" x14ac:dyDescent="0.25">
      <c r="A72" s="1"/>
      <c r="B72" s="1"/>
    </row>
    <row r="73" spans="1:2" ht="27.75" customHeight="1" x14ac:dyDescent="0.25">
      <c r="A73" s="1"/>
      <c r="B73" s="1"/>
    </row>
    <row r="74" spans="1:2" ht="27.75" customHeight="1" x14ac:dyDescent="0.25">
      <c r="A74" s="1"/>
      <c r="B74" s="1"/>
    </row>
    <row r="75" spans="1:2" ht="27.75" customHeight="1" x14ac:dyDescent="0.25">
      <c r="A75" s="1"/>
      <c r="B75" s="1"/>
    </row>
    <row r="76" spans="1:2" ht="27.75" customHeight="1" x14ac:dyDescent="0.25">
      <c r="A76" s="1"/>
      <c r="B76" s="1"/>
    </row>
    <row r="77" spans="1:2" ht="27.75" customHeight="1" x14ac:dyDescent="0.25">
      <c r="A77" s="1"/>
      <c r="B77" s="1"/>
    </row>
    <row r="78" spans="1:2" ht="27.75" customHeight="1" x14ac:dyDescent="0.25">
      <c r="A78" s="1"/>
      <c r="B78" s="1"/>
    </row>
    <row r="79" spans="1:2" ht="27.75" customHeight="1" x14ac:dyDescent="0.25">
      <c r="A79" s="1"/>
      <c r="B79" s="1"/>
    </row>
    <row r="80" spans="1:2" ht="27.75" customHeight="1" x14ac:dyDescent="0.25">
      <c r="A80" s="1"/>
      <c r="B80" s="1"/>
    </row>
    <row r="81" spans="1:2" ht="27.75" customHeight="1" x14ac:dyDescent="0.25">
      <c r="A81" s="1"/>
      <c r="B81" s="1"/>
    </row>
    <row r="82" spans="1:2" ht="27.75" customHeight="1" x14ac:dyDescent="0.25">
      <c r="A82" s="1"/>
      <c r="B82" s="1"/>
    </row>
    <row r="83" spans="1:2" ht="27.75" customHeight="1" x14ac:dyDescent="0.25">
      <c r="A83" s="1"/>
      <c r="B83" s="1"/>
    </row>
    <row r="84" spans="1:2" ht="27.75" customHeight="1" x14ac:dyDescent="0.25">
      <c r="A84" s="1"/>
      <c r="B84" s="1"/>
    </row>
    <row r="85" spans="1:2" ht="27.75" customHeight="1" x14ac:dyDescent="0.25">
      <c r="A85" s="1"/>
      <c r="B85" s="1"/>
    </row>
    <row r="86" spans="1:2" ht="27.75" customHeight="1" x14ac:dyDescent="0.25">
      <c r="A86" s="1"/>
      <c r="B86" s="1"/>
    </row>
    <row r="87" spans="1:2" ht="27.75" customHeight="1" x14ac:dyDescent="0.25">
      <c r="A87" s="1"/>
      <c r="B87" s="1"/>
    </row>
    <row r="88" spans="1:2" ht="27.75" customHeight="1" x14ac:dyDescent="0.25">
      <c r="A88" s="1"/>
      <c r="B88" s="1"/>
    </row>
    <row r="89" spans="1:2" ht="27.75" customHeight="1" x14ac:dyDescent="0.25">
      <c r="A89" s="1"/>
      <c r="B89" s="1"/>
    </row>
    <row r="90" spans="1:2" ht="27.75" customHeight="1" x14ac:dyDescent="0.25">
      <c r="A90" s="1"/>
      <c r="B90" s="1"/>
    </row>
    <row r="91" spans="1:2" ht="27.75" customHeight="1" x14ac:dyDescent="0.25">
      <c r="A91" s="1"/>
      <c r="B91" s="1"/>
    </row>
    <row r="92" spans="1:2" ht="27.75" customHeight="1" x14ac:dyDescent="0.25">
      <c r="A92" s="1"/>
      <c r="B92" s="1"/>
    </row>
    <row r="93" spans="1:2" ht="27.75" customHeight="1" x14ac:dyDescent="0.25">
      <c r="A93" s="1"/>
      <c r="B93" s="1"/>
    </row>
    <row r="94" spans="1:2" ht="27.75" customHeight="1" x14ac:dyDescent="0.25">
      <c r="A94" s="1"/>
      <c r="B94" s="1"/>
    </row>
    <row r="95" spans="1:2" ht="27.75" customHeight="1" x14ac:dyDescent="0.25">
      <c r="A95" s="1"/>
      <c r="B95" s="1"/>
    </row>
    <row r="96" spans="1:2" ht="27.75" customHeight="1" x14ac:dyDescent="0.25">
      <c r="A96" s="1"/>
      <c r="B96" s="1"/>
    </row>
    <row r="97" spans="1:2" ht="27.75" customHeight="1" x14ac:dyDescent="0.25">
      <c r="A97" s="1"/>
      <c r="B97" s="1"/>
    </row>
    <row r="98" spans="1:2" ht="27.75" customHeight="1" x14ac:dyDescent="0.25">
      <c r="A98" s="1"/>
      <c r="B98" s="1"/>
    </row>
    <row r="99" spans="1:2" ht="27.75" customHeight="1" x14ac:dyDescent="0.25">
      <c r="A99" s="1"/>
      <c r="B99" s="1"/>
    </row>
    <row r="100" spans="1:2" ht="27.75" customHeight="1" x14ac:dyDescent="0.25">
      <c r="A100" s="1"/>
      <c r="B100" s="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17F1D4-1BA0-47FF-9AC3-8E83C43D929A}">
  <sheetPr codeName="Planilha5"/>
  <dimension ref="A1:Z100"/>
  <sheetViews>
    <sheetView showGridLines="0" showRowColHeaders="0" workbookViewId="0">
      <selection activeCell="D11" sqref="D11:D15"/>
    </sheetView>
  </sheetViews>
  <sheetFormatPr defaultColWidth="14.85546875" defaultRowHeight="27.75" customHeight="1" x14ac:dyDescent="0.25"/>
  <cols>
    <col min="1" max="2" width="14.85546875" style="2"/>
    <col min="3" max="10" width="21.28515625" style="2" customWidth="1"/>
    <col min="11" max="16384" width="14.85546875" style="2"/>
  </cols>
  <sheetData>
    <row r="1" spans="1:26" ht="32.2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27.75" customHeight="1" x14ac:dyDescent="0.25">
      <c r="A2" s="1"/>
      <c r="B2" s="1"/>
    </row>
    <row r="3" spans="1:26" ht="27.75" customHeight="1" x14ac:dyDescent="0.25">
      <c r="A3" s="1"/>
      <c r="B3" s="1"/>
      <c r="C3" s="10" t="s">
        <v>10</v>
      </c>
      <c r="E3" s="10">
        <v>1</v>
      </c>
      <c r="F3" s="10">
        <v>2</v>
      </c>
      <c r="G3" s="10">
        <v>3</v>
      </c>
      <c r="H3" s="10">
        <v>4</v>
      </c>
      <c r="I3" s="10">
        <v>5</v>
      </c>
    </row>
    <row r="4" spans="1:26" ht="27.75" customHeight="1" x14ac:dyDescent="0.25">
      <c r="A4" s="1"/>
      <c r="B4" s="1"/>
      <c r="D4" s="8"/>
      <c r="E4" s="9" t="s">
        <v>0</v>
      </c>
      <c r="F4" s="9" t="s">
        <v>1</v>
      </c>
      <c r="G4" s="9" t="s">
        <v>2</v>
      </c>
      <c r="H4" s="9" t="s">
        <v>3</v>
      </c>
      <c r="I4" s="9" t="s">
        <v>4</v>
      </c>
    </row>
    <row r="5" spans="1:26" ht="27.75" customHeight="1" x14ac:dyDescent="0.25">
      <c r="A5" s="1"/>
      <c r="B5" s="1"/>
      <c r="C5" s="10">
        <v>1</v>
      </c>
      <c r="D5" s="3">
        <v>0.29166666666666669</v>
      </c>
      <c r="E5" s="7" t="str">
        <f>IFERROR(INDEX(Tabela2[[Disciplina]:[Disciplina]],MATCH($C$3&amp;E$3&amp;$C5,Tabela2[[aux]:[aux]],0)),"-")</f>
        <v>-</v>
      </c>
      <c r="F5" s="7" t="str">
        <f>IFERROR(INDEX(Tabela2[[Disciplina]:[Disciplina]],MATCH($C$3&amp;F$3&amp;$C5,Tabela2[[aux]:[aux]],0)),"-")</f>
        <v>CTCO05C</v>
      </c>
      <c r="G5" s="7" t="str">
        <f>IFERROR(INDEX(Tabela2[[Disciplina]:[Disciplina]],MATCH($C$3&amp;G$3&amp;$C5,Tabela2[[aux]:[aux]],0)),"-")</f>
        <v>XMCO01C</v>
      </c>
      <c r="H5" s="7" t="str">
        <f>IFERROR(INDEX(Tabela2[[Disciplina]:[Disciplina]],MATCH($C$3&amp;H$3&amp;$C5,Tabela2[[aux]:[aux]],0)),"-")</f>
        <v>CTCO05C</v>
      </c>
      <c r="I5" s="7" t="str">
        <f>IFERROR(INDEX(Tabela2[[Disciplina]:[Disciplina]],MATCH($C$3&amp;I$3&amp;$C5,Tabela2[[aux]:[aux]],0)),"-")</f>
        <v>-</v>
      </c>
    </row>
    <row r="6" spans="1:26" ht="27.75" customHeight="1" x14ac:dyDescent="0.25">
      <c r="A6" s="1"/>
      <c r="B6" s="1"/>
      <c r="C6" s="10">
        <v>2</v>
      </c>
      <c r="D6" s="3">
        <v>0.3298611111111111</v>
      </c>
      <c r="E6" s="7" t="str">
        <f>IFERROR(INDEX(Tabela2[[Disciplina]:[Disciplina]],MATCH($C$3&amp;E$3&amp;$C6,Tabela2[[aux]:[aux]],0)),"-")</f>
        <v>-</v>
      </c>
      <c r="F6" s="7" t="str">
        <f>IFERROR(INDEX(Tabela2[[Disciplina]:[Disciplina]],MATCH($C$3&amp;F$3&amp;$C6,Tabela2[[aux]:[aux]],0)),"-")</f>
        <v>CTCO05C</v>
      </c>
      <c r="G6" s="7" t="str">
        <f>IFERROR(INDEX(Tabela2[[Disciplina]:[Disciplina]],MATCH($C$3&amp;G$3&amp;$C6,Tabela2[[aux]:[aux]],0)),"-")</f>
        <v>XMCO01C</v>
      </c>
      <c r="H6" s="7" t="str">
        <f>IFERROR(INDEX(Tabela2[[Disciplina]:[Disciplina]],MATCH($C$3&amp;H$3&amp;$C6,Tabela2[[aux]:[aux]],0)),"-")</f>
        <v>CTCO05C</v>
      </c>
      <c r="I6" s="7" t="str">
        <f>IFERROR(INDEX(Tabela2[[Disciplina]:[Disciplina]],MATCH($C$3&amp;I$3&amp;$C6,Tabela2[[aux]:[aux]],0)),"-")</f>
        <v>-</v>
      </c>
    </row>
    <row r="7" spans="1:26" ht="27.75" customHeight="1" x14ac:dyDescent="0.25">
      <c r="A7" s="1"/>
      <c r="B7" s="1"/>
      <c r="C7" s="10">
        <v>3</v>
      </c>
      <c r="D7" s="3">
        <v>0.36805555555555558</v>
      </c>
      <c r="E7" s="7" t="str">
        <f>IFERROR(INDEX(Tabela2[[Disciplina]:[Disciplina]],MATCH($C$3&amp;E$3&amp;$C7,Tabela2[[aux]:[aux]],0)),"-")</f>
        <v>CIC111C</v>
      </c>
      <c r="F7" s="7" t="str">
        <f>IFERROR(INDEX(Tabela2[[Disciplina]:[Disciplina]],MATCH($C$3&amp;F$3&amp;$C7,Tabela2[[aux]:[aux]],0)),"-")</f>
        <v>-</v>
      </c>
      <c r="G7" s="7" t="str">
        <f>IFERROR(INDEX(Tabela2[[Disciplina]:[Disciplina]],MATCH($C$3&amp;G$3&amp;$C7,Tabela2[[aux]:[aux]],0)),"-")</f>
        <v>-</v>
      </c>
      <c r="H7" s="7" t="str">
        <f>IFERROR(INDEX(Tabela2[[Disciplina]:[Disciplina]],MATCH($C$3&amp;H$3&amp;$C7,Tabela2[[aux]:[aux]],0)),"-")</f>
        <v>-</v>
      </c>
      <c r="I7" s="7" t="str">
        <f>IFERROR(INDEX(Tabela2[[Disciplina]:[Disciplina]],MATCH($C$3&amp;I$3&amp;$C7,Tabela2[[aux]:[aux]],0)),"-")</f>
        <v>-</v>
      </c>
    </row>
    <row r="8" spans="1:26" ht="27.75" customHeight="1" x14ac:dyDescent="0.25">
      <c r="A8" s="1"/>
      <c r="B8" s="1"/>
      <c r="C8" s="10">
        <v>4</v>
      </c>
      <c r="D8" s="3">
        <v>0.4236111111111111</v>
      </c>
      <c r="E8" s="7" t="str">
        <f>IFERROR(INDEX(Tabela2[[Disciplina]:[Disciplina]],MATCH($C$3&amp;E$3&amp;$C8,Tabela2[[aux]:[aux]],0)),"-")</f>
        <v>CIC111C</v>
      </c>
      <c r="F8" s="7" t="str">
        <f>IFERROR(INDEX(Tabela2[[Disciplina]:[Disciplina]],MATCH($C$3&amp;F$3&amp;$C8,Tabela2[[aux]:[aux]],0)),"-")</f>
        <v>XPAD01C</v>
      </c>
      <c r="G8" s="7" t="str">
        <f>IFERROR(INDEX(Tabela2[[Disciplina]:[Disciplina]],MATCH($C$3&amp;G$3&amp;$C8,Tabela2[[aux]:[aux]],0)),"-")</f>
        <v>CMCO05C</v>
      </c>
      <c r="H8" s="7" t="str">
        <f>IFERROR(INDEX(Tabela2[[Disciplina]:[Disciplina]],MATCH($C$3&amp;H$3&amp;$C8,Tabela2[[aux]:[aux]],0)),"-")</f>
        <v>XMCO01C</v>
      </c>
      <c r="I8" s="7" t="str">
        <f>IFERROR(INDEX(Tabela2[[Disciplina]:[Disciplina]],MATCH($C$3&amp;I$3&amp;$C8,Tabela2[[aux]:[aux]],0)),"-")</f>
        <v>XPAD01C</v>
      </c>
    </row>
    <row r="9" spans="1:26" ht="27.75" customHeight="1" x14ac:dyDescent="0.25">
      <c r="A9" s="1"/>
      <c r="B9" s="1"/>
      <c r="C9" s="10">
        <v>5</v>
      </c>
      <c r="D9" s="4">
        <v>0.46180555555555558</v>
      </c>
      <c r="E9" s="7" t="str">
        <f>IFERROR(INDEX(Tabela2[[Disciplina]:[Disciplina]],MATCH($C$3&amp;E$3&amp;$C9,Tabela2[[aux]:[aux]],0)),"-")</f>
        <v>CTCO03C</v>
      </c>
      <c r="F9" s="7" t="str">
        <f>IFERROR(INDEX(Tabela2[[Disciplina]:[Disciplina]],MATCH($C$3&amp;F$3&amp;$C9,Tabela2[[aux]:[aux]],0)),"-")</f>
        <v>XPAD01C</v>
      </c>
      <c r="G9" s="7" t="str">
        <f>IFERROR(INDEX(Tabela2[[Disciplina]:[Disciplina]],MATCH($C$3&amp;G$3&amp;$C9,Tabela2[[aux]:[aux]],0)),"-")</f>
        <v>CMCO05C</v>
      </c>
      <c r="H9" s="7" t="str">
        <f>IFERROR(INDEX(Tabela2[[Disciplina]:[Disciplina]],MATCH($C$3&amp;H$3&amp;$C9,Tabela2[[aux]:[aux]],0)),"-")</f>
        <v>XMCO01C</v>
      </c>
      <c r="I9" s="7" t="str">
        <f>IFERROR(INDEX(Tabela2[[Disciplina]:[Disciplina]],MATCH($C$3&amp;I$3&amp;$C9,Tabela2[[aux]:[aux]],0)),"-")</f>
        <v>XPAD01C</v>
      </c>
    </row>
    <row r="10" spans="1:26" ht="9" customHeight="1" x14ac:dyDescent="0.25">
      <c r="A10" s="1"/>
      <c r="B10" s="1"/>
      <c r="C10" s="10"/>
      <c r="D10" s="5"/>
      <c r="E10" s="7" t="str">
        <f>IFERROR(INDEX(Tabela2[[Disciplina]:[Disciplina]],MATCH($C$3&amp;E$3&amp;$C10,Tabela2[[aux]:[aux]],0)),"-")</f>
        <v>-</v>
      </c>
      <c r="F10" s="7" t="str">
        <f>IFERROR(INDEX(Tabela2[[Disciplina]:[Disciplina]],MATCH($C$3&amp;F$3&amp;$C10,Tabela2[[aux]:[aux]],0)),"-")</f>
        <v>-</v>
      </c>
      <c r="G10" s="7" t="str">
        <f>IFERROR(INDEX(Tabela2[[Disciplina]:[Disciplina]],MATCH($C$3&amp;G$3&amp;$C10,Tabela2[[aux]:[aux]],0)),"-")</f>
        <v>-</v>
      </c>
      <c r="H10" s="7" t="str">
        <f>IFERROR(INDEX(Tabela2[[Disciplina]:[Disciplina]],MATCH($C$3&amp;H$3&amp;$C10,Tabela2[[aux]:[aux]],0)),"-")</f>
        <v>-</v>
      </c>
      <c r="I10" s="7" t="str">
        <f>IFERROR(INDEX(Tabela2[[Disciplina]:[Disciplina]],MATCH($C$3&amp;I$3&amp;$C10,Tabela2[[aux]:[aux]],0)),"-")</f>
        <v>-</v>
      </c>
    </row>
    <row r="11" spans="1:26" ht="27.75" customHeight="1" x14ac:dyDescent="0.25">
      <c r="A11" s="1"/>
      <c r="B11" s="1"/>
      <c r="C11" s="10">
        <v>6</v>
      </c>
      <c r="D11" s="6">
        <v>0.5625</v>
      </c>
      <c r="E11" s="7" t="str">
        <f>IFERROR(INDEX(Tabela2[[Disciplina]:[Disciplina]],MATCH($C$3&amp;E$3&amp;$C11,Tabela2[[aux]:[aux]],0)),"-")</f>
        <v>CTCO03C</v>
      </c>
      <c r="F11" s="7" t="str">
        <f>IFERROR(INDEX(Tabela2[[Disciplina]:[Disciplina]],MATCH($C$3&amp;F$3&amp;$C11,Tabela2[[aux]:[aux]],0)),"-")</f>
        <v>-</v>
      </c>
      <c r="G11" s="7" t="str">
        <f>IFERROR(INDEX(Tabela2[[Disciplina]:[Disciplina]],MATCH($C$3&amp;G$3&amp;$C11,Tabela2[[aux]:[aux]],0)),"-")</f>
        <v>-</v>
      </c>
      <c r="H11" s="7" t="str">
        <f>IFERROR(INDEX(Tabela2[[Disciplina]:[Disciplina]],MATCH($C$3&amp;H$3&amp;$C11,Tabela2[[aux]:[aux]],0)),"-")</f>
        <v>-</v>
      </c>
      <c r="I11" s="7" t="str">
        <f>IFERROR(INDEX(Tabela2[[Disciplina]:[Disciplina]],MATCH($C$3&amp;I$3&amp;$C11,Tabela2[[aux]:[aux]],0)),"-")</f>
        <v>-</v>
      </c>
    </row>
    <row r="12" spans="1:26" ht="27.75" customHeight="1" x14ac:dyDescent="0.25">
      <c r="A12" s="1"/>
      <c r="B12" s="1"/>
      <c r="C12" s="10">
        <v>7</v>
      </c>
      <c r="D12" s="3">
        <v>0.60069444444444442</v>
      </c>
      <c r="E12" s="7" t="str">
        <f>IFERROR(INDEX(Tabela2[[Disciplina]:[Disciplina]],MATCH($C$3&amp;E$3&amp;$C12,Tabela2[[aux]:[aux]],0)),"-")</f>
        <v>-</v>
      </c>
      <c r="F12" s="7" t="str">
        <f>IFERROR(INDEX(Tabela2[[Disciplina]:[Disciplina]],MATCH($C$3&amp;F$3&amp;$C12,Tabela2[[aux]:[aux]],0)),"-")</f>
        <v>CTCO03C</v>
      </c>
      <c r="G12" s="7" t="str">
        <f>IFERROR(INDEX(Tabela2[[Disciplina]:[Disciplina]],MATCH($C$3&amp;G$3&amp;$C12,Tabela2[[aux]:[aux]],0)),"-")</f>
        <v>-</v>
      </c>
      <c r="H12" s="7" t="str">
        <f>IFERROR(INDEX(Tabela2[[Disciplina]:[Disciplina]],MATCH($C$3&amp;H$3&amp;$C12,Tabela2[[aux]:[aux]],0)),"-")</f>
        <v>CMCO05C</v>
      </c>
      <c r="I12" s="7" t="str">
        <f>IFERROR(INDEX(Tabela2[[Disciplina]:[Disciplina]],MATCH($C$3&amp;I$3&amp;$C12,Tabela2[[aux]:[aux]],0)),"-")</f>
        <v>-</v>
      </c>
    </row>
    <row r="13" spans="1:26" ht="27.75" customHeight="1" x14ac:dyDescent="0.25">
      <c r="A13" s="1"/>
      <c r="B13" s="1"/>
      <c r="C13" s="10">
        <v>8</v>
      </c>
      <c r="D13" s="3">
        <v>0.65625</v>
      </c>
      <c r="E13" s="7" t="str">
        <f>IFERROR(INDEX(Tabela2[[Disciplina]:[Disciplina]],MATCH($C$3&amp;E$3&amp;$C13,Tabela2[[aux]:[aux]],0)),"-")</f>
        <v>-</v>
      </c>
      <c r="F13" s="7" t="str">
        <f>IFERROR(INDEX(Tabela2[[Disciplina]:[Disciplina]],MATCH($C$3&amp;F$3&amp;$C13,Tabela2[[aux]:[aux]],0)),"-")</f>
        <v>CTCO03C</v>
      </c>
      <c r="G13" s="7" t="str">
        <f>IFERROR(INDEX(Tabela2[[Disciplina]:[Disciplina]],MATCH($C$3&amp;G$3&amp;$C13,Tabela2[[aux]:[aux]],0)),"-")</f>
        <v>CIC111C</v>
      </c>
      <c r="H13" s="7" t="str">
        <f>IFERROR(INDEX(Tabela2[[Disciplina]:[Disciplina]],MATCH($C$3&amp;H$3&amp;$C13,Tabela2[[aux]:[aux]],0)),"-")</f>
        <v>CMCO05C</v>
      </c>
      <c r="I13" s="7" t="str">
        <f>IFERROR(INDEX(Tabela2[[Disciplina]:[Disciplina]],MATCH($C$3&amp;I$3&amp;$C13,Tabela2[[aux]:[aux]],0)),"-")</f>
        <v>-</v>
      </c>
    </row>
    <row r="14" spans="1:26" ht="27.75" customHeight="1" x14ac:dyDescent="0.25">
      <c r="A14" s="1"/>
      <c r="B14" s="1"/>
      <c r="C14" s="10">
        <v>9</v>
      </c>
      <c r="D14" s="3">
        <v>0.69444444444444442</v>
      </c>
      <c r="E14" s="7" t="str">
        <f>IFERROR(INDEX(Tabela2[[Disciplina]:[Disciplina]],MATCH($C$3&amp;E$3&amp;$C14,Tabela2[[aux]:[aux]],0)),"-")</f>
        <v>-</v>
      </c>
      <c r="F14" s="7" t="str">
        <f>IFERROR(INDEX(Tabela2[[Disciplina]:[Disciplina]],MATCH($C$3&amp;F$3&amp;$C14,Tabela2[[aux]:[aux]],0)),"-")</f>
        <v>-</v>
      </c>
      <c r="G14" s="7" t="str">
        <f>IFERROR(INDEX(Tabela2[[Disciplina]:[Disciplina]],MATCH($C$3&amp;G$3&amp;$C14,Tabela2[[aux]:[aux]],0)),"-")</f>
        <v>-</v>
      </c>
      <c r="H14" s="7" t="str">
        <f>IFERROR(INDEX(Tabela2[[Disciplina]:[Disciplina]],MATCH($C$3&amp;H$3&amp;$C14,Tabela2[[aux]:[aux]],0)),"-")</f>
        <v>-</v>
      </c>
      <c r="I14" s="7" t="str">
        <f>IFERROR(INDEX(Tabela2[[Disciplina]:[Disciplina]],MATCH($C$3&amp;I$3&amp;$C14,Tabela2[[aux]:[aux]],0)),"-")</f>
        <v>-</v>
      </c>
    </row>
    <row r="15" spans="1:26" ht="27.75" customHeight="1" x14ac:dyDescent="0.25">
      <c r="A15" s="1"/>
      <c r="B15" s="1"/>
      <c r="C15" s="10">
        <v>10</v>
      </c>
      <c r="D15" s="3">
        <v>0.73263888888888884</v>
      </c>
      <c r="E15" s="7" t="str">
        <f>IFERROR(INDEX(Tabela2[[Disciplina]:[Disciplina]],MATCH($C$3&amp;E$3&amp;$C15,Tabela2[[aux]:[aux]],0)),"-")</f>
        <v>-</v>
      </c>
      <c r="F15" s="7" t="str">
        <f>IFERROR(INDEX(Tabela2[[Disciplina]:[Disciplina]],MATCH($C$3&amp;F$3&amp;$C15,Tabela2[[aux]:[aux]],0)),"-")</f>
        <v>-</v>
      </c>
      <c r="G15" s="7" t="str">
        <f>IFERROR(INDEX(Tabela2[[Disciplina]:[Disciplina]],MATCH($C$3&amp;G$3&amp;$C15,Tabela2[[aux]:[aux]],0)),"-")</f>
        <v>-</v>
      </c>
      <c r="H15" s="7" t="str">
        <f>IFERROR(INDEX(Tabela2[[Disciplina]:[Disciplina]],MATCH($C$3&amp;H$3&amp;$C15,Tabela2[[aux]:[aux]],0)),"-")</f>
        <v>-</v>
      </c>
      <c r="I15" s="7" t="str">
        <f>IFERROR(INDEX(Tabela2[[Disciplina]:[Disciplina]],MATCH($C$3&amp;I$3&amp;$C15,Tabela2[[aux]:[aux]],0)),"-")</f>
        <v>-</v>
      </c>
    </row>
    <row r="16" spans="1:26" ht="27.75" customHeight="1" x14ac:dyDescent="0.25">
      <c r="A16" s="1"/>
      <c r="B16" s="1"/>
    </row>
    <row r="17" spans="1:2" ht="27.75" customHeight="1" x14ac:dyDescent="0.25">
      <c r="A17" s="1"/>
      <c r="B17" s="1"/>
    </row>
    <row r="18" spans="1:2" ht="27.75" customHeight="1" x14ac:dyDescent="0.25">
      <c r="A18" s="1"/>
      <c r="B18" s="1"/>
    </row>
    <row r="19" spans="1:2" ht="27.75" customHeight="1" x14ac:dyDescent="0.25">
      <c r="A19" s="1"/>
      <c r="B19" s="1"/>
    </row>
    <row r="20" spans="1:2" ht="27.75" customHeight="1" x14ac:dyDescent="0.25">
      <c r="A20" s="1"/>
      <c r="B20" s="1"/>
    </row>
    <row r="21" spans="1:2" ht="27.75" customHeight="1" x14ac:dyDescent="0.25">
      <c r="A21" s="1"/>
      <c r="B21" s="1"/>
    </row>
    <row r="22" spans="1:2" ht="27.75" customHeight="1" x14ac:dyDescent="0.25">
      <c r="A22" s="1"/>
      <c r="B22" s="1"/>
    </row>
    <row r="23" spans="1:2" ht="27.75" customHeight="1" x14ac:dyDescent="0.25">
      <c r="A23" s="1"/>
      <c r="B23" s="1"/>
    </row>
    <row r="24" spans="1:2" ht="27.75" customHeight="1" x14ac:dyDescent="0.25">
      <c r="A24" s="1"/>
      <c r="B24" s="1"/>
    </row>
    <row r="25" spans="1:2" ht="27.75" customHeight="1" x14ac:dyDescent="0.25">
      <c r="A25" s="1"/>
      <c r="B25" s="1"/>
    </row>
    <row r="26" spans="1:2" ht="27.75" customHeight="1" x14ac:dyDescent="0.25">
      <c r="A26" s="1"/>
      <c r="B26" s="1"/>
    </row>
    <row r="27" spans="1:2" ht="27.75" customHeight="1" x14ac:dyDescent="0.25">
      <c r="A27" s="1"/>
      <c r="B27" s="1"/>
    </row>
    <row r="28" spans="1:2" ht="27.75" customHeight="1" x14ac:dyDescent="0.25">
      <c r="A28" s="1"/>
      <c r="B28" s="1"/>
    </row>
    <row r="29" spans="1:2" ht="27.75" customHeight="1" x14ac:dyDescent="0.25">
      <c r="A29" s="1"/>
      <c r="B29" s="1"/>
    </row>
    <row r="30" spans="1:2" ht="27.75" customHeight="1" x14ac:dyDescent="0.25">
      <c r="A30" s="1"/>
      <c r="B30" s="1"/>
    </row>
    <row r="31" spans="1:2" ht="27.75" customHeight="1" x14ac:dyDescent="0.25">
      <c r="A31" s="1"/>
      <c r="B31" s="1"/>
    </row>
    <row r="32" spans="1:2" ht="27.75" customHeight="1" x14ac:dyDescent="0.25">
      <c r="A32" s="1"/>
      <c r="B32" s="1"/>
    </row>
    <row r="33" spans="1:2" ht="27.75" customHeight="1" x14ac:dyDescent="0.25">
      <c r="A33" s="1"/>
      <c r="B33" s="1"/>
    </row>
    <row r="34" spans="1:2" ht="27.75" customHeight="1" x14ac:dyDescent="0.25">
      <c r="A34" s="1"/>
      <c r="B34" s="1"/>
    </row>
    <row r="35" spans="1:2" ht="27.75" customHeight="1" x14ac:dyDescent="0.25">
      <c r="A35" s="1"/>
      <c r="B35" s="1"/>
    </row>
    <row r="36" spans="1:2" ht="27.75" customHeight="1" x14ac:dyDescent="0.25">
      <c r="A36" s="1"/>
      <c r="B36" s="1"/>
    </row>
    <row r="37" spans="1:2" ht="27.75" customHeight="1" x14ac:dyDescent="0.25">
      <c r="A37" s="1"/>
      <c r="B37" s="1"/>
    </row>
    <row r="38" spans="1:2" ht="27.75" customHeight="1" x14ac:dyDescent="0.25">
      <c r="A38" s="1"/>
      <c r="B38" s="1"/>
    </row>
    <row r="39" spans="1:2" ht="27.75" customHeight="1" x14ac:dyDescent="0.25">
      <c r="A39" s="1"/>
      <c r="B39" s="1"/>
    </row>
    <row r="40" spans="1:2" ht="27.75" customHeight="1" x14ac:dyDescent="0.25">
      <c r="A40" s="1"/>
      <c r="B40" s="1"/>
    </row>
    <row r="41" spans="1:2" ht="27.75" customHeight="1" x14ac:dyDescent="0.25">
      <c r="A41" s="1"/>
      <c r="B41" s="1"/>
    </row>
    <row r="42" spans="1:2" ht="27.75" customHeight="1" x14ac:dyDescent="0.25">
      <c r="A42" s="1"/>
      <c r="B42" s="1"/>
    </row>
    <row r="43" spans="1:2" ht="27.75" customHeight="1" x14ac:dyDescent="0.25">
      <c r="A43" s="1"/>
      <c r="B43" s="1"/>
    </row>
    <row r="44" spans="1:2" ht="27.75" customHeight="1" x14ac:dyDescent="0.25">
      <c r="A44" s="1"/>
      <c r="B44" s="1"/>
    </row>
    <row r="45" spans="1:2" ht="27.75" customHeight="1" x14ac:dyDescent="0.25">
      <c r="A45" s="1"/>
      <c r="B45" s="1"/>
    </row>
    <row r="46" spans="1:2" ht="27.75" customHeight="1" x14ac:dyDescent="0.25">
      <c r="A46" s="1"/>
      <c r="B46" s="1"/>
    </row>
    <row r="47" spans="1:2" ht="27.75" customHeight="1" x14ac:dyDescent="0.25">
      <c r="A47" s="1"/>
      <c r="B47" s="1"/>
    </row>
    <row r="48" spans="1:2" ht="27.75" customHeight="1" x14ac:dyDescent="0.25">
      <c r="A48" s="1"/>
      <c r="B48" s="1"/>
    </row>
    <row r="49" spans="1:2" ht="27.75" customHeight="1" x14ac:dyDescent="0.25">
      <c r="A49" s="1"/>
      <c r="B49" s="1"/>
    </row>
    <row r="50" spans="1:2" ht="27.75" customHeight="1" x14ac:dyDescent="0.25">
      <c r="A50" s="1"/>
      <c r="B50" s="1"/>
    </row>
    <row r="51" spans="1:2" ht="27.75" customHeight="1" x14ac:dyDescent="0.25">
      <c r="A51" s="1"/>
      <c r="B51" s="1"/>
    </row>
    <row r="52" spans="1:2" ht="27.75" customHeight="1" x14ac:dyDescent="0.25">
      <c r="A52" s="1"/>
      <c r="B52" s="1"/>
    </row>
    <row r="53" spans="1:2" ht="27.75" customHeight="1" x14ac:dyDescent="0.25">
      <c r="A53" s="1"/>
      <c r="B53" s="1"/>
    </row>
    <row r="54" spans="1:2" ht="27.75" customHeight="1" x14ac:dyDescent="0.25">
      <c r="A54" s="1"/>
      <c r="B54" s="1"/>
    </row>
    <row r="55" spans="1:2" ht="27.75" customHeight="1" x14ac:dyDescent="0.25">
      <c r="A55" s="1"/>
      <c r="B55" s="1"/>
    </row>
    <row r="56" spans="1:2" ht="27.75" customHeight="1" x14ac:dyDescent="0.25">
      <c r="A56" s="1"/>
      <c r="B56" s="1"/>
    </row>
    <row r="57" spans="1:2" ht="27.75" customHeight="1" x14ac:dyDescent="0.25">
      <c r="A57" s="1"/>
      <c r="B57" s="1"/>
    </row>
    <row r="58" spans="1:2" ht="27.75" customHeight="1" x14ac:dyDescent="0.25">
      <c r="A58" s="1"/>
      <c r="B58" s="1"/>
    </row>
    <row r="59" spans="1:2" ht="27.75" customHeight="1" x14ac:dyDescent="0.25">
      <c r="A59" s="1"/>
      <c r="B59" s="1"/>
    </row>
    <row r="60" spans="1:2" ht="27.75" customHeight="1" x14ac:dyDescent="0.25">
      <c r="A60" s="1"/>
      <c r="B60" s="1"/>
    </row>
    <row r="61" spans="1:2" ht="27.75" customHeight="1" x14ac:dyDescent="0.25">
      <c r="A61" s="1"/>
      <c r="B61" s="1"/>
    </row>
    <row r="62" spans="1:2" ht="27.75" customHeight="1" x14ac:dyDescent="0.25">
      <c r="A62" s="1"/>
      <c r="B62" s="1"/>
    </row>
    <row r="63" spans="1:2" ht="27.75" customHeight="1" x14ac:dyDescent="0.25">
      <c r="A63" s="1"/>
      <c r="B63" s="1"/>
    </row>
    <row r="64" spans="1:2" ht="27.75" customHeight="1" x14ac:dyDescent="0.25">
      <c r="A64" s="1"/>
      <c r="B64" s="1"/>
    </row>
    <row r="65" spans="1:2" ht="27.75" customHeight="1" x14ac:dyDescent="0.25">
      <c r="A65" s="1"/>
      <c r="B65" s="1"/>
    </row>
    <row r="66" spans="1:2" ht="27.75" customHeight="1" x14ac:dyDescent="0.25">
      <c r="A66" s="1"/>
      <c r="B66" s="1"/>
    </row>
    <row r="67" spans="1:2" ht="27.75" customHeight="1" x14ac:dyDescent="0.25">
      <c r="A67" s="1"/>
      <c r="B67" s="1"/>
    </row>
    <row r="68" spans="1:2" ht="27.75" customHeight="1" x14ac:dyDescent="0.25">
      <c r="A68" s="1"/>
      <c r="B68" s="1"/>
    </row>
    <row r="69" spans="1:2" ht="27.75" customHeight="1" x14ac:dyDescent="0.25">
      <c r="A69" s="1"/>
      <c r="B69" s="1"/>
    </row>
    <row r="70" spans="1:2" ht="27.75" customHeight="1" x14ac:dyDescent="0.25">
      <c r="A70" s="1"/>
      <c r="B70" s="1"/>
    </row>
    <row r="71" spans="1:2" ht="27.75" customHeight="1" x14ac:dyDescent="0.25">
      <c r="A71" s="1"/>
      <c r="B71" s="1"/>
    </row>
    <row r="72" spans="1:2" ht="27.75" customHeight="1" x14ac:dyDescent="0.25">
      <c r="A72" s="1"/>
      <c r="B72" s="1"/>
    </row>
    <row r="73" spans="1:2" ht="27.75" customHeight="1" x14ac:dyDescent="0.25">
      <c r="A73" s="1"/>
      <c r="B73" s="1"/>
    </row>
    <row r="74" spans="1:2" ht="27.75" customHeight="1" x14ac:dyDescent="0.25">
      <c r="A74" s="1"/>
      <c r="B74" s="1"/>
    </row>
    <row r="75" spans="1:2" ht="27.75" customHeight="1" x14ac:dyDescent="0.25">
      <c r="A75" s="1"/>
      <c r="B75" s="1"/>
    </row>
    <row r="76" spans="1:2" ht="27.75" customHeight="1" x14ac:dyDescent="0.25">
      <c r="A76" s="1"/>
      <c r="B76" s="1"/>
    </row>
    <row r="77" spans="1:2" ht="27.75" customHeight="1" x14ac:dyDescent="0.25">
      <c r="A77" s="1"/>
      <c r="B77" s="1"/>
    </row>
    <row r="78" spans="1:2" ht="27.75" customHeight="1" x14ac:dyDescent="0.25">
      <c r="A78" s="1"/>
      <c r="B78" s="1"/>
    </row>
    <row r="79" spans="1:2" ht="27.75" customHeight="1" x14ac:dyDescent="0.25">
      <c r="A79" s="1"/>
      <c r="B79" s="1"/>
    </row>
    <row r="80" spans="1:2" ht="27.75" customHeight="1" x14ac:dyDescent="0.25">
      <c r="A80" s="1"/>
      <c r="B80" s="1"/>
    </row>
    <row r="81" spans="1:2" ht="27.75" customHeight="1" x14ac:dyDescent="0.25">
      <c r="A81" s="1"/>
      <c r="B81" s="1"/>
    </row>
    <row r="82" spans="1:2" ht="27.75" customHeight="1" x14ac:dyDescent="0.25">
      <c r="A82" s="1"/>
      <c r="B82" s="1"/>
    </row>
    <row r="83" spans="1:2" ht="27.75" customHeight="1" x14ac:dyDescent="0.25">
      <c r="A83" s="1"/>
      <c r="B83" s="1"/>
    </row>
    <row r="84" spans="1:2" ht="27.75" customHeight="1" x14ac:dyDescent="0.25">
      <c r="A84" s="1"/>
      <c r="B84" s="1"/>
    </row>
    <row r="85" spans="1:2" ht="27.75" customHeight="1" x14ac:dyDescent="0.25">
      <c r="A85" s="1"/>
      <c r="B85" s="1"/>
    </row>
    <row r="86" spans="1:2" ht="27.75" customHeight="1" x14ac:dyDescent="0.25">
      <c r="A86" s="1"/>
      <c r="B86" s="1"/>
    </row>
    <row r="87" spans="1:2" ht="27.75" customHeight="1" x14ac:dyDescent="0.25">
      <c r="A87" s="1"/>
      <c r="B87" s="1"/>
    </row>
    <row r="88" spans="1:2" ht="27.75" customHeight="1" x14ac:dyDescent="0.25">
      <c r="A88" s="1"/>
      <c r="B88" s="1"/>
    </row>
    <row r="89" spans="1:2" ht="27.75" customHeight="1" x14ac:dyDescent="0.25">
      <c r="A89" s="1"/>
      <c r="B89" s="1"/>
    </row>
    <row r="90" spans="1:2" ht="27.75" customHeight="1" x14ac:dyDescent="0.25">
      <c r="A90" s="1"/>
      <c r="B90" s="1"/>
    </row>
    <row r="91" spans="1:2" ht="27.75" customHeight="1" x14ac:dyDescent="0.25">
      <c r="A91" s="1"/>
      <c r="B91" s="1"/>
    </row>
    <row r="92" spans="1:2" ht="27.75" customHeight="1" x14ac:dyDescent="0.25">
      <c r="A92" s="1"/>
      <c r="B92" s="1"/>
    </row>
    <row r="93" spans="1:2" ht="27.75" customHeight="1" x14ac:dyDescent="0.25">
      <c r="A93" s="1"/>
      <c r="B93" s="1"/>
    </row>
    <row r="94" spans="1:2" ht="27.75" customHeight="1" x14ac:dyDescent="0.25">
      <c r="A94" s="1"/>
      <c r="B94" s="1"/>
    </row>
    <row r="95" spans="1:2" ht="27.75" customHeight="1" x14ac:dyDescent="0.25">
      <c r="A95" s="1"/>
      <c r="B95" s="1"/>
    </row>
    <row r="96" spans="1:2" ht="27.75" customHeight="1" x14ac:dyDescent="0.25">
      <c r="A96" s="1"/>
      <c r="B96" s="1"/>
    </row>
    <row r="97" spans="1:2" ht="27.75" customHeight="1" x14ac:dyDescent="0.25">
      <c r="A97" s="1"/>
      <c r="B97" s="1"/>
    </row>
    <row r="98" spans="1:2" ht="27.75" customHeight="1" x14ac:dyDescent="0.25">
      <c r="A98" s="1"/>
      <c r="B98" s="1"/>
    </row>
    <row r="99" spans="1:2" ht="27.75" customHeight="1" x14ac:dyDescent="0.25">
      <c r="A99" s="1"/>
      <c r="B99" s="1"/>
    </row>
    <row r="100" spans="1:2" ht="27.75" customHeight="1" x14ac:dyDescent="0.25">
      <c r="A100" s="1"/>
      <c r="B100" s="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1B0166-0B66-4382-891F-E53FF5012D22}">
  <sheetPr codeName="Planilha6"/>
  <dimension ref="A1:Z100"/>
  <sheetViews>
    <sheetView showGridLines="0" showRowColHeaders="0" workbookViewId="0">
      <selection activeCell="D11" sqref="D11:D15"/>
    </sheetView>
  </sheetViews>
  <sheetFormatPr defaultColWidth="14.85546875" defaultRowHeight="27.75" customHeight="1" x14ac:dyDescent="0.25"/>
  <cols>
    <col min="1" max="2" width="14.85546875" style="2"/>
    <col min="3" max="10" width="21.28515625" style="2" customWidth="1"/>
    <col min="11" max="16384" width="14.85546875" style="2"/>
  </cols>
  <sheetData>
    <row r="1" spans="1:26" ht="32.2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27.75" customHeight="1" x14ac:dyDescent="0.25">
      <c r="A2" s="1"/>
      <c r="B2" s="1"/>
    </row>
    <row r="3" spans="1:26" ht="27.75" customHeight="1" x14ac:dyDescent="0.25">
      <c r="A3" s="1"/>
      <c r="B3" s="1"/>
      <c r="C3" s="10" t="s">
        <v>11</v>
      </c>
      <c r="E3" s="10">
        <v>1</v>
      </c>
      <c r="F3" s="10">
        <v>2</v>
      </c>
      <c r="G3" s="10">
        <v>3</v>
      </c>
      <c r="H3" s="10">
        <v>4</v>
      </c>
      <c r="I3" s="10">
        <v>5</v>
      </c>
    </row>
    <row r="4" spans="1:26" ht="27.75" customHeight="1" x14ac:dyDescent="0.25">
      <c r="A4" s="1"/>
      <c r="B4" s="1"/>
      <c r="D4" s="8"/>
      <c r="E4" s="9" t="s">
        <v>0</v>
      </c>
      <c r="F4" s="9" t="s">
        <v>1</v>
      </c>
      <c r="G4" s="9" t="s">
        <v>2</v>
      </c>
      <c r="H4" s="9" t="s">
        <v>3</v>
      </c>
      <c r="I4" s="9" t="s">
        <v>4</v>
      </c>
    </row>
    <row r="5" spans="1:26" ht="27.75" customHeight="1" x14ac:dyDescent="0.25">
      <c r="A5" s="1"/>
      <c r="B5" s="1"/>
      <c r="C5" s="10">
        <v>1</v>
      </c>
      <c r="D5" s="3">
        <v>0.29166666666666669</v>
      </c>
      <c r="E5" s="7" t="str">
        <f>IFERROR(INDEX(Tabela2[[Disciplina]:[Disciplina]],MATCH($C$3&amp;E$3&amp;$C5,Tabela2[[aux]:[aux]],0)),"-")</f>
        <v>-</v>
      </c>
      <c r="F5" s="7" t="str">
        <f>IFERROR(INDEX(Tabela2[[Disciplina]:[Disciplina]],MATCH($C$3&amp;F$3&amp;$C5,Tabela2[[aux]:[aux]],0)),"-")</f>
        <v>-</v>
      </c>
      <c r="G5" s="7" t="str">
        <f>IFERROR(INDEX(Tabela2[[Disciplina]:[Disciplina]],MATCH($C$3&amp;G$3&amp;$C5,Tabela2[[aux]:[aux]],0)),"-")</f>
        <v>-</v>
      </c>
      <c r="H5" s="7" t="str">
        <f>IFERROR(INDEX(Tabela2[[Disciplina]:[Disciplina]],MATCH($C$3&amp;H$3&amp;$C5,Tabela2[[aux]:[aux]],0)),"-")</f>
        <v>-</v>
      </c>
      <c r="I5" s="7" t="str">
        <f>IFERROR(INDEX(Tabela2[[Disciplina]:[Disciplina]],MATCH($C$3&amp;I$3&amp;$C5,Tabela2[[aux]:[aux]],0)),"-")</f>
        <v>-</v>
      </c>
    </row>
    <row r="6" spans="1:26" ht="27.75" customHeight="1" x14ac:dyDescent="0.25">
      <c r="A6" s="1"/>
      <c r="B6" s="1"/>
      <c r="C6" s="10">
        <v>2</v>
      </c>
      <c r="D6" s="3">
        <v>0.3298611111111111</v>
      </c>
      <c r="E6" s="7" t="str">
        <f>IFERROR(INDEX(Tabela2[[Disciplina]:[Disciplina]],MATCH($C$3&amp;E$3&amp;$C6,Tabela2[[aux]:[aux]],0)),"-")</f>
        <v>-</v>
      </c>
      <c r="F6" s="7" t="str">
        <f>IFERROR(INDEX(Tabela2[[Disciplina]:[Disciplina]],MATCH($C$3&amp;F$3&amp;$C6,Tabela2[[aux]:[aux]],0)),"-")</f>
        <v>-</v>
      </c>
      <c r="G6" s="7" t="str">
        <f>IFERROR(INDEX(Tabela2[[Disciplina]:[Disciplina]],MATCH($C$3&amp;G$3&amp;$C6,Tabela2[[aux]:[aux]],0)),"-")</f>
        <v>-</v>
      </c>
      <c r="H6" s="7" t="str">
        <f>IFERROR(INDEX(Tabela2[[Disciplina]:[Disciplina]],MATCH($C$3&amp;H$3&amp;$C6,Tabela2[[aux]:[aux]],0)),"-")</f>
        <v>-</v>
      </c>
      <c r="I6" s="7" t="str">
        <f>IFERROR(INDEX(Tabela2[[Disciplina]:[Disciplina]],MATCH($C$3&amp;I$3&amp;$C6,Tabela2[[aux]:[aux]],0)),"-")</f>
        <v>-</v>
      </c>
    </row>
    <row r="7" spans="1:26" ht="27.75" customHeight="1" x14ac:dyDescent="0.25">
      <c r="A7" s="1"/>
      <c r="B7" s="1"/>
      <c r="C7" s="10">
        <v>3</v>
      </c>
      <c r="D7" s="3">
        <v>0.36805555555555558</v>
      </c>
      <c r="E7" s="7" t="str">
        <f>IFERROR(INDEX(Tabela2[[Disciplina]:[Disciplina]],MATCH($C$3&amp;E$3&amp;$C7,Tabela2[[aux]:[aux]],0)),"-")</f>
        <v>CTCO06C</v>
      </c>
      <c r="F7" s="7" t="str">
        <f>IFERROR(INDEX(Tabela2[[Disciplina]:[Disciplina]],MATCH($C$3&amp;F$3&amp;$C7,Tabela2[[aux]:[aux]],0)),"-")</f>
        <v>-</v>
      </c>
      <c r="G7" s="7" t="str">
        <f>IFERROR(INDEX(Tabela2[[Disciplina]:[Disciplina]],MATCH($C$3&amp;G$3&amp;$C7,Tabela2[[aux]:[aux]],0)),"-")</f>
        <v>-</v>
      </c>
      <c r="H7" s="7" t="str">
        <f>IFERROR(INDEX(Tabela2[[Disciplina]:[Disciplina]],MATCH($C$3&amp;H$3&amp;$C7,Tabela2[[aux]:[aux]],0)),"-")</f>
        <v>-</v>
      </c>
      <c r="I7" s="7" t="str">
        <f>IFERROR(INDEX(Tabela2[[Disciplina]:[Disciplina]],MATCH($C$3&amp;I$3&amp;$C7,Tabela2[[aux]:[aux]],0)),"-")</f>
        <v>-</v>
      </c>
    </row>
    <row r="8" spans="1:26" ht="27.75" customHeight="1" x14ac:dyDescent="0.25">
      <c r="A8" s="1"/>
      <c r="B8" s="1"/>
      <c r="C8" s="10">
        <v>4</v>
      </c>
      <c r="D8" s="3">
        <v>0.4236111111111111</v>
      </c>
      <c r="E8" s="7" t="str">
        <f>IFERROR(INDEX(Tabela2[[Disciplina]:[Disciplina]],MATCH($C$3&amp;E$3&amp;$C8,Tabela2[[aux]:[aux]],0)),"-")</f>
        <v>CTCO06C</v>
      </c>
      <c r="F8" s="7" t="str">
        <f>IFERROR(INDEX(Tabela2[[Disciplina]:[Disciplina]],MATCH($C$3&amp;F$3&amp;$C8,Tabela2[[aux]:[aux]],0)),"-")</f>
        <v>-</v>
      </c>
      <c r="G8" s="7" t="str">
        <f>IFERROR(INDEX(Tabela2[[Disciplina]:[Disciplina]],MATCH($C$3&amp;G$3&amp;$C8,Tabela2[[aux]:[aux]],0)),"-")</f>
        <v>-</v>
      </c>
      <c r="H8" s="7" t="str">
        <f>IFERROR(INDEX(Tabela2[[Disciplina]:[Disciplina]],MATCH($C$3&amp;H$3&amp;$C8,Tabela2[[aux]:[aux]],0)),"-")</f>
        <v>-</v>
      </c>
      <c r="I8" s="7" t="str">
        <f>IFERROR(INDEX(Tabela2[[Disciplina]:[Disciplina]],MATCH($C$3&amp;I$3&amp;$C8,Tabela2[[aux]:[aux]],0)),"-")</f>
        <v>-</v>
      </c>
    </row>
    <row r="9" spans="1:26" ht="27.75" customHeight="1" x14ac:dyDescent="0.25">
      <c r="A9" s="1"/>
      <c r="B9" s="1"/>
      <c r="C9" s="10">
        <v>5</v>
      </c>
      <c r="D9" s="4">
        <v>0.46180555555555558</v>
      </c>
      <c r="E9" s="7" t="str">
        <f>IFERROR(INDEX(Tabela2[[Disciplina]:[Disciplina]],MATCH($C$3&amp;E$3&amp;$C9,Tabela2[[aux]:[aux]],0)),"-")</f>
        <v>-</v>
      </c>
      <c r="F9" s="7" t="str">
        <f>IFERROR(INDEX(Tabela2[[Disciplina]:[Disciplina]],MATCH($C$3&amp;F$3&amp;$C9,Tabela2[[aux]:[aux]],0)),"-")</f>
        <v>-</v>
      </c>
      <c r="G9" s="7" t="str">
        <f>IFERROR(INDEX(Tabela2[[Disciplina]:[Disciplina]],MATCH($C$3&amp;G$3&amp;$C9,Tabela2[[aux]:[aux]],0)),"-")</f>
        <v>XAHC02C</v>
      </c>
      <c r="H9" s="7" t="str">
        <f>IFERROR(INDEX(Tabela2[[Disciplina]:[Disciplina]],MATCH($C$3&amp;H$3&amp;$C9,Tabela2[[aux]:[aux]],0)),"-")</f>
        <v>-</v>
      </c>
      <c r="I9" s="7" t="str">
        <f>IFERROR(INDEX(Tabela2[[Disciplina]:[Disciplina]],MATCH($C$3&amp;I$3&amp;$C9,Tabela2[[aux]:[aux]],0)),"-")</f>
        <v>-</v>
      </c>
    </row>
    <row r="10" spans="1:26" ht="9" customHeight="1" x14ac:dyDescent="0.25">
      <c r="A10" s="1"/>
      <c r="B10" s="1"/>
      <c r="C10" s="10"/>
      <c r="D10" s="5"/>
      <c r="E10" s="7" t="str">
        <f>IFERROR(INDEX(Tabela2[[Disciplina]:[Disciplina]],MATCH($C$3&amp;E$3&amp;$C10,Tabela2[[aux]:[aux]],0)),"-")</f>
        <v>-</v>
      </c>
      <c r="F10" s="7" t="str">
        <f>IFERROR(INDEX(Tabela2[[Disciplina]:[Disciplina]],MATCH($C$3&amp;F$3&amp;$C10,Tabela2[[aux]:[aux]],0)),"-")</f>
        <v>-</v>
      </c>
      <c r="G10" s="7" t="str">
        <f>IFERROR(INDEX(Tabela2[[Disciplina]:[Disciplina]],MATCH($C$3&amp;G$3&amp;$C10,Tabela2[[aux]:[aux]],0)),"-")</f>
        <v>-</v>
      </c>
      <c r="H10" s="7" t="str">
        <f>IFERROR(INDEX(Tabela2[[Disciplina]:[Disciplina]],MATCH($C$3&amp;H$3&amp;$C10,Tabela2[[aux]:[aux]],0)),"-")</f>
        <v>-</v>
      </c>
      <c r="I10" s="7" t="str">
        <f>IFERROR(INDEX(Tabela2[[Disciplina]:[Disciplina]],MATCH($C$3&amp;I$3&amp;$C10,Tabela2[[aux]:[aux]],0)),"-")</f>
        <v>-</v>
      </c>
    </row>
    <row r="11" spans="1:26" ht="27.75" customHeight="1" x14ac:dyDescent="0.25">
      <c r="A11" s="1"/>
      <c r="B11" s="1"/>
      <c r="C11" s="10">
        <v>6</v>
      </c>
      <c r="D11" s="6">
        <v>0.5625</v>
      </c>
      <c r="E11" s="7" t="str">
        <f>IFERROR(INDEX(Tabela2[[Disciplina]:[Disciplina]],MATCH($C$3&amp;E$3&amp;$C11,Tabela2[[aux]:[aux]],0)),"-")</f>
        <v>-</v>
      </c>
      <c r="F11" s="7" t="str">
        <f>IFERROR(INDEX(Tabela2[[Disciplina]:[Disciplina]],MATCH($C$3&amp;F$3&amp;$C11,Tabela2[[aux]:[aux]],0)),"-")</f>
        <v>-</v>
      </c>
      <c r="G11" s="7" t="str">
        <f>IFERROR(INDEX(Tabela2[[Disciplina]:[Disciplina]],MATCH($C$3&amp;G$3&amp;$C11,Tabela2[[aux]:[aux]],0)),"-")</f>
        <v>XAHC02C</v>
      </c>
      <c r="H11" s="7" t="str">
        <f>IFERROR(INDEX(Tabela2[[Disciplina]:[Disciplina]],MATCH($C$3&amp;H$3&amp;$C11,Tabela2[[aux]:[aux]],0)),"-")</f>
        <v>-</v>
      </c>
      <c r="I11" s="7" t="str">
        <f>IFERROR(INDEX(Tabela2[[Disciplina]:[Disciplina]],MATCH($C$3&amp;I$3&amp;$C11,Tabela2[[aux]:[aux]],0)),"-")</f>
        <v>-</v>
      </c>
    </row>
    <row r="12" spans="1:26" ht="27.75" customHeight="1" x14ac:dyDescent="0.25">
      <c r="A12" s="1"/>
      <c r="B12" s="1"/>
      <c r="C12" s="10">
        <v>7</v>
      </c>
      <c r="D12" s="3">
        <v>0.60069444444444442</v>
      </c>
      <c r="E12" s="7" t="str">
        <f>IFERROR(INDEX(Tabela2[[Disciplina]:[Disciplina]],MATCH($C$3&amp;E$3&amp;$C12,Tabela2[[aux]:[aux]],0)),"-")</f>
        <v>-</v>
      </c>
      <c r="F12" s="7" t="str">
        <f>IFERROR(INDEX(Tabela2[[Disciplina]:[Disciplina]],MATCH($C$3&amp;F$3&amp;$C12,Tabela2[[aux]:[aux]],0)),"-")</f>
        <v>CTCO06C</v>
      </c>
      <c r="G12" s="7" t="str">
        <f>IFERROR(INDEX(Tabela2[[Disciplina]:[Disciplina]],MATCH($C$3&amp;G$3&amp;$C12,Tabela2[[aux]:[aux]],0)),"-")</f>
        <v>-</v>
      </c>
      <c r="H12" s="7" t="str">
        <f>IFERROR(INDEX(Tabela2[[Disciplina]:[Disciplina]],MATCH($C$3&amp;H$3&amp;$C12,Tabela2[[aux]:[aux]],0)),"-")</f>
        <v>-</v>
      </c>
      <c r="I12" s="7" t="str">
        <f>IFERROR(INDEX(Tabela2[[Disciplina]:[Disciplina]],MATCH($C$3&amp;I$3&amp;$C12,Tabela2[[aux]:[aux]],0)),"-")</f>
        <v>XAHC02C</v>
      </c>
    </row>
    <row r="13" spans="1:26" ht="27.75" customHeight="1" x14ac:dyDescent="0.25">
      <c r="A13" s="1"/>
      <c r="B13" s="1"/>
      <c r="C13" s="10">
        <v>8</v>
      </c>
      <c r="D13" s="3">
        <v>0.65625</v>
      </c>
      <c r="E13" s="7" t="str">
        <f>IFERROR(INDEX(Tabela2[[Disciplina]:[Disciplina]],MATCH($C$3&amp;E$3&amp;$C13,Tabela2[[aux]:[aux]],0)),"-")</f>
        <v>-</v>
      </c>
      <c r="F13" s="7" t="str">
        <f>IFERROR(INDEX(Tabela2[[Disciplina]:[Disciplina]],MATCH($C$3&amp;F$3&amp;$C13,Tabela2[[aux]:[aux]],0)),"-")</f>
        <v>CTCO06C</v>
      </c>
      <c r="G13" s="7" t="str">
        <f>IFERROR(INDEX(Tabela2[[Disciplina]:[Disciplina]],MATCH($C$3&amp;G$3&amp;$C13,Tabela2[[aux]:[aux]],0)),"-")</f>
        <v>-</v>
      </c>
      <c r="H13" s="7" t="str">
        <f>IFERROR(INDEX(Tabela2[[Disciplina]:[Disciplina]],MATCH($C$3&amp;H$3&amp;$C13,Tabela2[[aux]:[aux]],0)),"-")</f>
        <v>-</v>
      </c>
      <c r="I13" s="7" t="str">
        <f>IFERROR(INDEX(Tabela2[[Disciplina]:[Disciplina]],MATCH($C$3&amp;I$3&amp;$C13,Tabela2[[aux]:[aux]],0)),"-")</f>
        <v>XAHC02C</v>
      </c>
    </row>
    <row r="14" spans="1:26" ht="27.75" customHeight="1" x14ac:dyDescent="0.25">
      <c r="A14" s="1"/>
      <c r="B14" s="1"/>
      <c r="C14" s="10">
        <v>9</v>
      </c>
      <c r="D14" s="3">
        <v>0.69444444444444442</v>
      </c>
      <c r="E14" s="7" t="str">
        <f>IFERROR(INDEX(Tabela2[[Disciplina]:[Disciplina]],MATCH($C$3&amp;E$3&amp;$C14,Tabela2[[aux]:[aux]],0)),"-")</f>
        <v>-</v>
      </c>
      <c r="F14" s="7" t="str">
        <f>IFERROR(INDEX(Tabela2[[Disciplina]:[Disciplina]],MATCH($C$3&amp;F$3&amp;$C14,Tabela2[[aux]:[aux]],0)),"-")</f>
        <v>-</v>
      </c>
      <c r="G14" s="7" t="str">
        <f>IFERROR(INDEX(Tabela2[[Disciplina]:[Disciplina]],MATCH($C$3&amp;G$3&amp;$C14,Tabela2[[aux]:[aux]],0)),"-")</f>
        <v>-</v>
      </c>
      <c r="H14" s="7" t="str">
        <f>IFERROR(INDEX(Tabela2[[Disciplina]:[Disciplina]],MATCH($C$3&amp;H$3&amp;$C14,Tabela2[[aux]:[aux]],0)),"-")</f>
        <v>-</v>
      </c>
      <c r="I14" s="7" t="str">
        <f>IFERROR(INDEX(Tabela2[[Disciplina]:[Disciplina]],MATCH($C$3&amp;I$3&amp;$C14,Tabela2[[aux]:[aux]],0)),"-")</f>
        <v>-</v>
      </c>
    </row>
    <row r="15" spans="1:26" ht="27.75" customHeight="1" x14ac:dyDescent="0.25">
      <c r="A15" s="1"/>
      <c r="B15" s="1"/>
      <c r="C15" s="10">
        <v>10</v>
      </c>
      <c r="D15" s="3">
        <v>0.73263888888888884</v>
      </c>
      <c r="E15" s="7" t="str">
        <f>IFERROR(INDEX(Tabela2[[Disciplina]:[Disciplina]],MATCH($C$3&amp;E$3&amp;$C15,Tabela2[[aux]:[aux]],0)),"-")</f>
        <v>-</v>
      </c>
      <c r="F15" s="7" t="str">
        <f>IFERROR(INDEX(Tabela2[[Disciplina]:[Disciplina]],MATCH($C$3&amp;F$3&amp;$C15,Tabela2[[aux]:[aux]],0)),"-")</f>
        <v>-</v>
      </c>
      <c r="G15" s="7" t="str">
        <f>IFERROR(INDEX(Tabela2[[Disciplina]:[Disciplina]],MATCH($C$3&amp;G$3&amp;$C15,Tabela2[[aux]:[aux]],0)),"-")</f>
        <v>-</v>
      </c>
      <c r="H15" s="7" t="str">
        <f>IFERROR(INDEX(Tabela2[[Disciplina]:[Disciplina]],MATCH($C$3&amp;H$3&amp;$C15,Tabela2[[aux]:[aux]],0)),"-")</f>
        <v>-</v>
      </c>
      <c r="I15" s="7" t="str">
        <f>IFERROR(INDEX(Tabela2[[Disciplina]:[Disciplina]],MATCH($C$3&amp;I$3&amp;$C15,Tabela2[[aux]:[aux]],0)),"-")</f>
        <v>-</v>
      </c>
    </row>
    <row r="16" spans="1:26" ht="27.75" customHeight="1" x14ac:dyDescent="0.25">
      <c r="A16" s="1"/>
      <c r="B16" s="1"/>
    </row>
    <row r="17" spans="1:2" ht="27.75" customHeight="1" x14ac:dyDescent="0.25">
      <c r="A17" s="1"/>
      <c r="B17" s="1"/>
    </row>
    <row r="18" spans="1:2" ht="27.75" customHeight="1" x14ac:dyDescent="0.25">
      <c r="A18" s="1"/>
      <c r="B18" s="1"/>
    </row>
    <row r="19" spans="1:2" ht="27.75" customHeight="1" x14ac:dyDescent="0.25">
      <c r="A19" s="1"/>
      <c r="B19" s="1"/>
    </row>
    <row r="20" spans="1:2" ht="27.75" customHeight="1" x14ac:dyDescent="0.25">
      <c r="A20" s="1"/>
      <c r="B20" s="1"/>
    </row>
    <row r="21" spans="1:2" ht="27.75" customHeight="1" x14ac:dyDescent="0.25">
      <c r="A21" s="1"/>
      <c r="B21" s="1"/>
    </row>
    <row r="22" spans="1:2" ht="27.75" customHeight="1" x14ac:dyDescent="0.25">
      <c r="A22" s="1"/>
      <c r="B22" s="1"/>
    </row>
    <row r="23" spans="1:2" ht="27.75" customHeight="1" x14ac:dyDescent="0.25">
      <c r="A23" s="1"/>
      <c r="B23" s="1"/>
    </row>
    <row r="24" spans="1:2" ht="27.75" customHeight="1" x14ac:dyDescent="0.25">
      <c r="A24" s="1"/>
      <c r="B24" s="1"/>
    </row>
    <row r="25" spans="1:2" ht="27.75" customHeight="1" x14ac:dyDescent="0.25">
      <c r="A25" s="1"/>
      <c r="B25" s="1"/>
    </row>
    <row r="26" spans="1:2" ht="27.75" customHeight="1" x14ac:dyDescent="0.25">
      <c r="A26" s="1"/>
      <c r="B26" s="1"/>
    </row>
    <row r="27" spans="1:2" ht="27.75" customHeight="1" x14ac:dyDescent="0.25">
      <c r="A27" s="1"/>
      <c r="B27" s="1"/>
    </row>
    <row r="28" spans="1:2" ht="27.75" customHeight="1" x14ac:dyDescent="0.25">
      <c r="A28" s="1"/>
      <c r="B28" s="1"/>
    </row>
    <row r="29" spans="1:2" ht="27.75" customHeight="1" x14ac:dyDescent="0.25">
      <c r="A29" s="1"/>
      <c r="B29" s="1"/>
    </row>
    <row r="30" spans="1:2" ht="27.75" customHeight="1" x14ac:dyDescent="0.25">
      <c r="A30" s="1"/>
      <c r="B30" s="1"/>
    </row>
    <row r="31" spans="1:2" ht="27.75" customHeight="1" x14ac:dyDescent="0.25">
      <c r="A31" s="1"/>
      <c r="B31" s="1"/>
    </row>
    <row r="32" spans="1:2" ht="27.75" customHeight="1" x14ac:dyDescent="0.25">
      <c r="A32" s="1"/>
      <c r="B32" s="1"/>
    </row>
    <row r="33" spans="1:2" ht="27.75" customHeight="1" x14ac:dyDescent="0.25">
      <c r="A33" s="1"/>
      <c r="B33" s="1"/>
    </row>
    <row r="34" spans="1:2" ht="27.75" customHeight="1" x14ac:dyDescent="0.25">
      <c r="A34" s="1"/>
      <c r="B34" s="1"/>
    </row>
    <row r="35" spans="1:2" ht="27.75" customHeight="1" x14ac:dyDescent="0.25">
      <c r="A35" s="1"/>
      <c r="B35" s="1"/>
    </row>
    <row r="36" spans="1:2" ht="27.75" customHeight="1" x14ac:dyDescent="0.25">
      <c r="A36" s="1"/>
      <c r="B36" s="1"/>
    </row>
    <row r="37" spans="1:2" ht="27.75" customHeight="1" x14ac:dyDescent="0.25">
      <c r="A37" s="1"/>
      <c r="B37" s="1"/>
    </row>
    <row r="38" spans="1:2" ht="27.75" customHeight="1" x14ac:dyDescent="0.25">
      <c r="A38" s="1"/>
      <c r="B38" s="1"/>
    </row>
    <row r="39" spans="1:2" ht="27.75" customHeight="1" x14ac:dyDescent="0.25">
      <c r="A39" s="1"/>
      <c r="B39" s="1"/>
    </row>
    <row r="40" spans="1:2" ht="27.75" customHeight="1" x14ac:dyDescent="0.25">
      <c r="A40" s="1"/>
      <c r="B40" s="1"/>
    </row>
    <row r="41" spans="1:2" ht="27.75" customHeight="1" x14ac:dyDescent="0.25">
      <c r="A41" s="1"/>
      <c r="B41" s="1"/>
    </row>
    <row r="42" spans="1:2" ht="27.75" customHeight="1" x14ac:dyDescent="0.25">
      <c r="A42" s="1"/>
      <c r="B42" s="1"/>
    </row>
    <row r="43" spans="1:2" ht="27.75" customHeight="1" x14ac:dyDescent="0.25">
      <c r="A43" s="1"/>
      <c r="B43" s="1"/>
    </row>
    <row r="44" spans="1:2" ht="27.75" customHeight="1" x14ac:dyDescent="0.25">
      <c r="A44" s="1"/>
      <c r="B44" s="1"/>
    </row>
    <row r="45" spans="1:2" ht="27.75" customHeight="1" x14ac:dyDescent="0.25">
      <c r="A45" s="1"/>
      <c r="B45" s="1"/>
    </row>
    <row r="46" spans="1:2" ht="27.75" customHeight="1" x14ac:dyDescent="0.25">
      <c r="A46" s="1"/>
      <c r="B46" s="1"/>
    </row>
    <row r="47" spans="1:2" ht="27.75" customHeight="1" x14ac:dyDescent="0.25">
      <c r="A47" s="1"/>
      <c r="B47" s="1"/>
    </row>
    <row r="48" spans="1:2" ht="27.75" customHeight="1" x14ac:dyDescent="0.25">
      <c r="A48" s="1"/>
      <c r="B48" s="1"/>
    </row>
    <row r="49" spans="1:2" ht="27.75" customHeight="1" x14ac:dyDescent="0.25">
      <c r="A49" s="1"/>
      <c r="B49" s="1"/>
    </row>
    <row r="50" spans="1:2" ht="27.75" customHeight="1" x14ac:dyDescent="0.25">
      <c r="A50" s="1"/>
      <c r="B50" s="1"/>
    </row>
    <row r="51" spans="1:2" ht="27.75" customHeight="1" x14ac:dyDescent="0.25">
      <c r="A51" s="1"/>
      <c r="B51" s="1"/>
    </row>
    <row r="52" spans="1:2" ht="27.75" customHeight="1" x14ac:dyDescent="0.25">
      <c r="A52" s="1"/>
      <c r="B52" s="1"/>
    </row>
    <row r="53" spans="1:2" ht="27.75" customHeight="1" x14ac:dyDescent="0.25">
      <c r="A53" s="1"/>
      <c r="B53" s="1"/>
    </row>
    <row r="54" spans="1:2" ht="27.75" customHeight="1" x14ac:dyDescent="0.25">
      <c r="A54" s="1"/>
      <c r="B54" s="1"/>
    </row>
    <row r="55" spans="1:2" ht="27.75" customHeight="1" x14ac:dyDescent="0.25">
      <c r="A55" s="1"/>
      <c r="B55" s="1"/>
    </row>
    <row r="56" spans="1:2" ht="27.75" customHeight="1" x14ac:dyDescent="0.25">
      <c r="A56" s="1"/>
      <c r="B56" s="1"/>
    </row>
    <row r="57" spans="1:2" ht="27.75" customHeight="1" x14ac:dyDescent="0.25">
      <c r="A57" s="1"/>
      <c r="B57" s="1"/>
    </row>
    <row r="58" spans="1:2" ht="27.75" customHeight="1" x14ac:dyDescent="0.25">
      <c r="A58" s="1"/>
      <c r="B58" s="1"/>
    </row>
    <row r="59" spans="1:2" ht="27.75" customHeight="1" x14ac:dyDescent="0.25">
      <c r="A59" s="1"/>
      <c r="B59" s="1"/>
    </row>
    <row r="60" spans="1:2" ht="27.75" customHeight="1" x14ac:dyDescent="0.25">
      <c r="A60" s="1"/>
      <c r="B60" s="1"/>
    </row>
    <row r="61" spans="1:2" ht="27.75" customHeight="1" x14ac:dyDescent="0.25">
      <c r="A61" s="1"/>
      <c r="B61" s="1"/>
    </row>
    <row r="62" spans="1:2" ht="27.75" customHeight="1" x14ac:dyDescent="0.25">
      <c r="A62" s="1"/>
      <c r="B62" s="1"/>
    </row>
    <row r="63" spans="1:2" ht="27.75" customHeight="1" x14ac:dyDescent="0.25">
      <c r="A63" s="1"/>
      <c r="B63" s="1"/>
    </row>
    <row r="64" spans="1:2" ht="27.75" customHeight="1" x14ac:dyDescent="0.25">
      <c r="A64" s="1"/>
      <c r="B64" s="1"/>
    </row>
    <row r="65" spans="1:2" ht="27.75" customHeight="1" x14ac:dyDescent="0.25">
      <c r="A65" s="1"/>
      <c r="B65" s="1"/>
    </row>
    <row r="66" spans="1:2" ht="27.75" customHeight="1" x14ac:dyDescent="0.25">
      <c r="A66" s="1"/>
      <c r="B66" s="1"/>
    </row>
    <row r="67" spans="1:2" ht="27.75" customHeight="1" x14ac:dyDescent="0.25">
      <c r="A67" s="1"/>
      <c r="B67" s="1"/>
    </row>
    <row r="68" spans="1:2" ht="27.75" customHeight="1" x14ac:dyDescent="0.25">
      <c r="A68" s="1"/>
      <c r="B68" s="1"/>
    </row>
    <row r="69" spans="1:2" ht="27.75" customHeight="1" x14ac:dyDescent="0.25">
      <c r="A69" s="1"/>
      <c r="B69" s="1"/>
    </row>
    <row r="70" spans="1:2" ht="27.75" customHeight="1" x14ac:dyDescent="0.25">
      <c r="A70" s="1"/>
      <c r="B70" s="1"/>
    </row>
    <row r="71" spans="1:2" ht="27.75" customHeight="1" x14ac:dyDescent="0.25">
      <c r="A71" s="1"/>
      <c r="B71" s="1"/>
    </row>
    <row r="72" spans="1:2" ht="27.75" customHeight="1" x14ac:dyDescent="0.25">
      <c r="A72" s="1"/>
      <c r="B72" s="1"/>
    </row>
    <row r="73" spans="1:2" ht="27.75" customHeight="1" x14ac:dyDescent="0.25">
      <c r="A73" s="1"/>
      <c r="B73" s="1"/>
    </row>
    <row r="74" spans="1:2" ht="27.75" customHeight="1" x14ac:dyDescent="0.25">
      <c r="A74" s="1"/>
      <c r="B74" s="1"/>
    </row>
    <row r="75" spans="1:2" ht="27.75" customHeight="1" x14ac:dyDescent="0.25">
      <c r="A75" s="1"/>
      <c r="B75" s="1"/>
    </row>
    <row r="76" spans="1:2" ht="27.75" customHeight="1" x14ac:dyDescent="0.25">
      <c r="A76" s="1"/>
      <c r="B76" s="1"/>
    </row>
    <row r="77" spans="1:2" ht="27.75" customHeight="1" x14ac:dyDescent="0.25">
      <c r="A77" s="1"/>
      <c r="B77" s="1"/>
    </row>
    <row r="78" spans="1:2" ht="27.75" customHeight="1" x14ac:dyDescent="0.25">
      <c r="A78" s="1"/>
      <c r="B78" s="1"/>
    </row>
    <row r="79" spans="1:2" ht="27.75" customHeight="1" x14ac:dyDescent="0.25">
      <c r="A79" s="1"/>
      <c r="B79" s="1"/>
    </row>
    <row r="80" spans="1:2" ht="27.75" customHeight="1" x14ac:dyDescent="0.25">
      <c r="A80" s="1"/>
      <c r="B80" s="1"/>
    </row>
    <row r="81" spans="1:2" ht="27.75" customHeight="1" x14ac:dyDescent="0.25">
      <c r="A81" s="1"/>
      <c r="B81" s="1"/>
    </row>
    <row r="82" spans="1:2" ht="27.75" customHeight="1" x14ac:dyDescent="0.25">
      <c r="A82" s="1"/>
      <c r="B82" s="1"/>
    </row>
    <row r="83" spans="1:2" ht="27.75" customHeight="1" x14ac:dyDescent="0.25">
      <c r="A83" s="1"/>
      <c r="B83" s="1"/>
    </row>
    <row r="84" spans="1:2" ht="27.75" customHeight="1" x14ac:dyDescent="0.25">
      <c r="A84" s="1"/>
      <c r="B84" s="1"/>
    </row>
    <row r="85" spans="1:2" ht="27.75" customHeight="1" x14ac:dyDescent="0.25">
      <c r="A85" s="1"/>
      <c r="B85" s="1"/>
    </row>
    <row r="86" spans="1:2" ht="27.75" customHeight="1" x14ac:dyDescent="0.25">
      <c r="A86" s="1"/>
      <c r="B86" s="1"/>
    </row>
    <row r="87" spans="1:2" ht="27.75" customHeight="1" x14ac:dyDescent="0.25">
      <c r="A87" s="1"/>
      <c r="B87" s="1"/>
    </row>
    <row r="88" spans="1:2" ht="27.75" customHeight="1" x14ac:dyDescent="0.25">
      <c r="A88" s="1"/>
      <c r="B88" s="1"/>
    </row>
    <row r="89" spans="1:2" ht="27.75" customHeight="1" x14ac:dyDescent="0.25">
      <c r="A89" s="1"/>
      <c r="B89" s="1"/>
    </row>
    <row r="90" spans="1:2" ht="27.75" customHeight="1" x14ac:dyDescent="0.25">
      <c r="A90" s="1"/>
      <c r="B90" s="1"/>
    </row>
    <row r="91" spans="1:2" ht="27.75" customHeight="1" x14ac:dyDescent="0.25">
      <c r="A91" s="1"/>
      <c r="B91" s="1"/>
    </row>
    <row r="92" spans="1:2" ht="27.75" customHeight="1" x14ac:dyDescent="0.25">
      <c r="A92" s="1"/>
      <c r="B92" s="1"/>
    </row>
    <row r="93" spans="1:2" ht="27.75" customHeight="1" x14ac:dyDescent="0.25">
      <c r="A93" s="1"/>
      <c r="B93" s="1"/>
    </row>
    <row r="94" spans="1:2" ht="27.75" customHeight="1" x14ac:dyDescent="0.25">
      <c r="A94" s="1"/>
      <c r="B94" s="1"/>
    </row>
    <row r="95" spans="1:2" ht="27.75" customHeight="1" x14ac:dyDescent="0.25">
      <c r="A95" s="1"/>
      <c r="B95" s="1"/>
    </row>
    <row r="96" spans="1:2" ht="27.75" customHeight="1" x14ac:dyDescent="0.25">
      <c r="A96" s="1"/>
      <c r="B96" s="1"/>
    </row>
    <row r="97" spans="1:2" ht="27.75" customHeight="1" x14ac:dyDescent="0.25">
      <c r="A97" s="1"/>
      <c r="B97" s="1"/>
    </row>
    <row r="98" spans="1:2" ht="27.75" customHeight="1" x14ac:dyDescent="0.25">
      <c r="A98" s="1"/>
      <c r="B98" s="1"/>
    </row>
    <row r="99" spans="1:2" ht="27.75" customHeight="1" x14ac:dyDescent="0.25">
      <c r="A99" s="1"/>
      <c r="B99" s="1"/>
    </row>
    <row r="100" spans="1:2" ht="27.75" customHeight="1" x14ac:dyDescent="0.25">
      <c r="A100" s="1"/>
      <c r="B100" s="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6CDBF5-95A0-479C-9A8B-7E25F14E5ACC}">
  <sheetPr codeName="Planilha7"/>
  <dimension ref="A1:Z100"/>
  <sheetViews>
    <sheetView showGridLines="0" showRowColHeaders="0" workbookViewId="0">
      <selection activeCell="D11" sqref="D11:D15"/>
    </sheetView>
  </sheetViews>
  <sheetFormatPr defaultColWidth="14.85546875" defaultRowHeight="27.75" customHeight="1" x14ac:dyDescent="0.25"/>
  <cols>
    <col min="1" max="2" width="14.85546875" style="2"/>
    <col min="3" max="10" width="21.28515625" style="2" customWidth="1"/>
    <col min="11" max="16384" width="14.85546875" style="2"/>
  </cols>
  <sheetData>
    <row r="1" spans="1:26" ht="32.2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27.75" customHeight="1" x14ac:dyDescent="0.25">
      <c r="A2" s="1"/>
      <c r="B2" s="1"/>
    </row>
    <row r="3" spans="1:26" ht="27.75" customHeight="1" x14ac:dyDescent="0.25">
      <c r="A3" s="1"/>
      <c r="B3" s="1"/>
      <c r="C3" s="10" t="s">
        <v>6</v>
      </c>
      <c r="E3" s="10">
        <v>1</v>
      </c>
      <c r="F3" s="10">
        <v>2</v>
      </c>
      <c r="G3" s="10">
        <v>3</v>
      </c>
      <c r="H3" s="10">
        <v>4</v>
      </c>
      <c r="I3" s="10">
        <v>5</v>
      </c>
    </row>
    <row r="4" spans="1:26" ht="27.75" customHeight="1" x14ac:dyDescent="0.25">
      <c r="A4" s="1"/>
      <c r="B4" s="1"/>
      <c r="D4" s="8"/>
      <c r="E4" s="9" t="s">
        <v>0</v>
      </c>
      <c r="F4" s="9" t="s">
        <v>1</v>
      </c>
      <c r="G4" s="9" t="s">
        <v>2</v>
      </c>
      <c r="H4" s="9" t="s">
        <v>3</v>
      </c>
      <c r="I4" s="9" t="s">
        <v>4</v>
      </c>
    </row>
    <row r="5" spans="1:26" ht="27.75" customHeight="1" x14ac:dyDescent="0.25">
      <c r="A5" s="1"/>
      <c r="B5" s="1"/>
      <c r="C5" s="10">
        <v>1</v>
      </c>
      <c r="D5" s="3">
        <v>0.29166666666666669</v>
      </c>
      <c r="E5" s="7" t="str">
        <f>IFERROR(INDEX(Tabela2[[Disciplina]:[Disciplina]],MATCH($C$3&amp;E$3&amp;$C5,Tabela2[[aux]:[aux]],0)),"-")</f>
        <v>-</v>
      </c>
      <c r="F5" s="7" t="str">
        <f>IFERROR(INDEX(Tabela2[[Disciplina]:[Disciplina]],MATCH($C$3&amp;F$3&amp;$C5,Tabela2[[aux]:[aux]],0)),"-")</f>
        <v>-</v>
      </c>
      <c r="G5" s="7" t="str">
        <f>IFERROR(INDEX(Tabela2[[Disciplina]:[Disciplina]],MATCH($C$3&amp;G$3&amp;$C5,Tabela2[[aux]:[aux]],0)),"-")</f>
        <v>SDES06C</v>
      </c>
      <c r="H5" s="7" t="str">
        <f>IFERROR(INDEX(Tabela2[[Disciplina]:[Disciplina]],MATCH($C$3&amp;H$3&amp;$C5,Tabela2[[aux]:[aux]],0)),"-")</f>
        <v>-</v>
      </c>
      <c r="I5" s="7" t="str">
        <f>IFERROR(INDEX(Tabela2[[Disciplina]:[Disciplina]],MATCH($C$3&amp;I$3&amp;$C5,Tabela2[[aux]:[aux]],0)),"-")</f>
        <v>SDES06C</v>
      </c>
    </row>
    <row r="6" spans="1:26" ht="27.75" customHeight="1" x14ac:dyDescent="0.25">
      <c r="A6" s="1"/>
      <c r="B6" s="1"/>
      <c r="C6" s="10">
        <v>2</v>
      </c>
      <c r="D6" s="3">
        <v>0.3298611111111111</v>
      </c>
      <c r="E6" s="7" t="str">
        <f>IFERROR(INDEX(Tabela2[[Disciplina]:[Disciplina]],MATCH($C$3&amp;E$3&amp;$C6,Tabela2[[aux]:[aux]],0)),"-")</f>
        <v>-</v>
      </c>
      <c r="F6" s="7" t="str">
        <f>IFERROR(INDEX(Tabela2[[Disciplina]:[Disciplina]],MATCH($C$3&amp;F$3&amp;$C6,Tabela2[[aux]:[aux]],0)),"-")</f>
        <v>-</v>
      </c>
      <c r="G6" s="7" t="str">
        <f>IFERROR(INDEX(Tabela2[[Disciplina]:[Disciplina]],MATCH($C$3&amp;G$3&amp;$C6,Tabela2[[aux]:[aux]],0)),"-")</f>
        <v>SDES06C</v>
      </c>
      <c r="H6" s="7" t="str">
        <f>IFERROR(INDEX(Tabela2[[Disciplina]:[Disciplina]],MATCH($C$3&amp;H$3&amp;$C6,Tabela2[[aux]:[aux]],0)),"-")</f>
        <v>-</v>
      </c>
      <c r="I6" s="7" t="str">
        <f>IFERROR(INDEX(Tabela2[[Disciplina]:[Disciplina]],MATCH($C$3&amp;I$3&amp;$C6,Tabela2[[aux]:[aux]],0)),"-")</f>
        <v>SDES06C</v>
      </c>
    </row>
    <row r="7" spans="1:26" ht="27.75" customHeight="1" x14ac:dyDescent="0.25">
      <c r="A7" s="1"/>
      <c r="B7" s="1"/>
      <c r="C7" s="10">
        <v>3</v>
      </c>
      <c r="D7" s="3">
        <v>0.36805555555555558</v>
      </c>
      <c r="E7" s="7" t="str">
        <f>IFERROR(INDEX(Tabela2[[Disciplina]:[Disciplina]],MATCH($C$3&amp;E$3&amp;$C7,Tabela2[[aux]:[aux]],0)),"-")</f>
        <v>XAHC03C</v>
      </c>
      <c r="F7" s="7" t="str">
        <f>IFERROR(INDEX(Tabela2[[Disciplina]:[Disciplina]],MATCH($C$3&amp;F$3&amp;$C7,Tabela2[[aux]:[aux]],0)),"-")</f>
        <v>-</v>
      </c>
      <c r="G7" s="7" t="str">
        <f>IFERROR(INDEX(Tabela2[[Disciplina]:[Disciplina]],MATCH($C$3&amp;G$3&amp;$C7,Tabela2[[aux]:[aux]],0)),"-")</f>
        <v>-</v>
      </c>
      <c r="H7" s="7" t="str">
        <f>IFERROR(INDEX(Tabela2[[Disciplina]:[Disciplina]],MATCH($C$3&amp;H$3&amp;$C7,Tabela2[[aux]:[aux]],0)),"-")</f>
        <v>-</v>
      </c>
      <c r="I7" s="7" t="str">
        <f>IFERROR(INDEX(Tabela2[[Disciplina]:[Disciplina]],MATCH($C$3&amp;I$3&amp;$C7,Tabela2[[aux]:[aux]],0)),"-")</f>
        <v>-</v>
      </c>
    </row>
    <row r="8" spans="1:26" ht="27.75" customHeight="1" x14ac:dyDescent="0.25">
      <c r="A8" s="1"/>
      <c r="B8" s="1"/>
      <c r="C8" s="10">
        <v>4</v>
      </c>
      <c r="D8" s="3">
        <v>0.4236111111111111</v>
      </c>
      <c r="E8" s="7" t="str">
        <f>IFERROR(INDEX(Tabela2[[Disciplina]:[Disciplina]],MATCH($C$3&amp;E$3&amp;$C8,Tabela2[[aux]:[aux]],0)),"-")</f>
        <v>XAHC03C</v>
      </c>
      <c r="F8" s="7" t="str">
        <f>IFERROR(INDEX(Tabela2[[Disciplina]:[Disciplina]],MATCH($C$3&amp;F$3&amp;$C8,Tabela2[[aux]:[aux]],0)),"-")</f>
        <v>-</v>
      </c>
      <c r="G8" s="7" t="str">
        <f>IFERROR(INDEX(Tabela2[[Disciplina]:[Disciplina]],MATCH($C$3&amp;G$3&amp;$C8,Tabela2[[aux]:[aux]],0)),"-")</f>
        <v>-</v>
      </c>
      <c r="H8" s="7" t="str">
        <f>IFERROR(INDEX(Tabela2[[Disciplina]:[Disciplina]],MATCH($C$3&amp;H$3&amp;$C8,Tabela2[[aux]:[aux]],0)),"-")</f>
        <v>-</v>
      </c>
      <c r="I8" s="7" t="str">
        <f>IFERROR(INDEX(Tabela2[[Disciplina]:[Disciplina]],MATCH($C$3&amp;I$3&amp;$C8,Tabela2[[aux]:[aux]],0)),"-")</f>
        <v>-</v>
      </c>
    </row>
    <row r="9" spans="1:26" ht="27.75" customHeight="1" x14ac:dyDescent="0.25">
      <c r="A9" s="1"/>
      <c r="B9" s="1"/>
      <c r="C9" s="10">
        <v>5</v>
      </c>
      <c r="D9" s="4">
        <v>0.46180555555555558</v>
      </c>
      <c r="E9" s="7" t="str">
        <f>IFERROR(INDEX(Tabela2[[Disciplina]:[Disciplina]],MATCH($C$3&amp;E$3&amp;$C9,Tabela2[[aux]:[aux]],0)),"-")</f>
        <v>-</v>
      </c>
      <c r="F9" s="7" t="str">
        <f>IFERROR(INDEX(Tabela2[[Disciplina]:[Disciplina]],MATCH($C$3&amp;F$3&amp;$C9,Tabela2[[aux]:[aux]],0)),"-")</f>
        <v>-</v>
      </c>
      <c r="G9" s="7" t="str">
        <f>IFERROR(INDEX(Tabela2[[Disciplina]:[Disciplina]],MATCH($C$3&amp;G$3&amp;$C9,Tabela2[[aux]:[aux]],0)),"-")</f>
        <v>-</v>
      </c>
      <c r="H9" s="7" t="str">
        <f>IFERROR(INDEX(Tabela2[[Disciplina]:[Disciplina]],MATCH($C$3&amp;H$3&amp;$C9,Tabela2[[aux]:[aux]],0)),"-")</f>
        <v>-</v>
      </c>
      <c r="I9" s="7" t="str">
        <f>IFERROR(INDEX(Tabela2[[Disciplina]:[Disciplina]],MATCH($C$3&amp;I$3&amp;$C9,Tabela2[[aux]:[aux]],0)),"-")</f>
        <v>-</v>
      </c>
    </row>
    <row r="10" spans="1:26" ht="9" customHeight="1" x14ac:dyDescent="0.25">
      <c r="A10" s="1"/>
      <c r="B10" s="1"/>
      <c r="C10" s="10"/>
      <c r="D10" s="5"/>
      <c r="E10" s="7" t="str">
        <f>IFERROR(INDEX(Tabela2[[Disciplina]:[Disciplina]],MATCH($C$3&amp;E$3&amp;$C10,Tabela2[[aux]:[aux]],0)),"-")</f>
        <v>-</v>
      </c>
      <c r="F10" s="7" t="str">
        <f>IFERROR(INDEX(Tabela2[[Disciplina]:[Disciplina]],MATCH($C$3&amp;F$3&amp;$C10,Tabela2[[aux]:[aux]],0)),"-")</f>
        <v>-</v>
      </c>
      <c r="G10" s="7" t="str">
        <f>IFERROR(INDEX(Tabela2[[Disciplina]:[Disciplina]],MATCH($C$3&amp;G$3&amp;$C10,Tabela2[[aux]:[aux]],0)),"-")</f>
        <v>-</v>
      </c>
      <c r="H10" s="7" t="str">
        <f>IFERROR(INDEX(Tabela2[[Disciplina]:[Disciplina]],MATCH($C$3&amp;H$3&amp;$C10,Tabela2[[aux]:[aux]],0)),"-")</f>
        <v>-</v>
      </c>
      <c r="I10" s="7" t="str">
        <f>IFERROR(INDEX(Tabela2[[Disciplina]:[Disciplina]],MATCH($C$3&amp;I$3&amp;$C10,Tabela2[[aux]:[aux]],0)),"-")</f>
        <v>-</v>
      </c>
    </row>
    <row r="11" spans="1:26" ht="27.75" customHeight="1" x14ac:dyDescent="0.25">
      <c r="A11" s="1"/>
      <c r="B11" s="1"/>
      <c r="C11" s="10">
        <v>6</v>
      </c>
      <c r="D11" s="6">
        <v>0.5625</v>
      </c>
      <c r="E11" s="7" t="str">
        <f>IFERROR(INDEX(Tabela2[[Disciplina]:[Disciplina]],MATCH($C$3&amp;E$3&amp;$C11,Tabela2[[aux]:[aux]],0)),"-")</f>
        <v>-</v>
      </c>
      <c r="F11" s="7" t="str">
        <f>IFERROR(INDEX(Tabela2[[Disciplina]:[Disciplina]],MATCH($C$3&amp;F$3&amp;$C11,Tabela2[[aux]:[aux]],0)),"-")</f>
        <v>-</v>
      </c>
      <c r="G11" s="7" t="str">
        <f>IFERROR(INDEX(Tabela2[[Disciplina]:[Disciplina]],MATCH($C$3&amp;G$3&amp;$C11,Tabela2[[aux]:[aux]],0)),"-")</f>
        <v>-</v>
      </c>
      <c r="H11" s="7" t="str">
        <f>IFERROR(INDEX(Tabela2[[Disciplina]:[Disciplina]],MATCH($C$3&amp;H$3&amp;$C11,Tabela2[[aux]:[aux]],0)),"-")</f>
        <v>-</v>
      </c>
      <c r="I11" s="7" t="str">
        <f>IFERROR(INDEX(Tabela2[[Disciplina]:[Disciplina]],MATCH($C$3&amp;I$3&amp;$C11,Tabela2[[aux]:[aux]],0)),"-")</f>
        <v>-</v>
      </c>
    </row>
    <row r="12" spans="1:26" ht="27.75" customHeight="1" x14ac:dyDescent="0.25">
      <c r="A12" s="1"/>
      <c r="B12" s="1"/>
      <c r="C12" s="10">
        <v>7</v>
      </c>
      <c r="D12" s="3">
        <v>0.60069444444444442</v>
      </c>
      <c r="E12" s="7" t="str">
        <f>IFERROR(INDEX(Tabela2[[Disciplina]:[Disciplina]],MATCH($C$3&amp;E$3&amp;$C12,Tabela2[[aux]:[aux]],0)),"-")</f>
        <v>-</v>
      </c>
      <c r="F12" s="7" t="str">
        <f>IFERROR(INDEX(Tabela2[[Disciplina]:[Disciplina]],MATCH($C$3&amp;F$3&amp;$C12,Tabela2[[aux]:[aux]],0)),"-")</f>
        <v>-</v>
      </c>
      <c r="G12" s="7" t="str">
        <f>IFERROR(INDEX(Tabela2[[Disciplina]:[Disciplina]],MATCH($C$3&amp;G$3&amp;$C12,Tabela2[[aux]:[aux]],0)),"-")</f>
        <v>-</v>
      </c>
      <c r="H12" s="7" t="str">
        <f>IFERROR(INDEX(Tabela2[[Disciplina]:[Disciplina]],MATCH($C$3&amp;H$3&amp;$C12,Tabela2[[aux]:[aux]],0)),"-")</f>
        <v>-</v>
      </c>
      <c r="I12" s="7" t="str">
        <f>IFERROR(INDEX(Tabela2[[Disciplina]:[Disciplina]],MATCH($C$3&amp;I$3&amp;$C12,Tabela2[[aux]:[aux]],0)),"-")</f>
        <v>-</v>
      </c>
    </row>
    <row r="13" spans="1:26" ht="27.75" customHeight="1" x14ac:dyDescent="0.25">
      <c r="A13" s="1"/>
      <c r="B13" s="1"/>
      <c r="C13" s="10">
        <v>8</v>
      </c>
      <c r="D13" s="3">
        <v>0.65625</v>
      </c>
      <c r="E13" s="7" t="str">
        <f>IFERROR(INDEX(Tabela2[[Disciplina]:[Disciplina]],MATCH($C$3&amp;E$3&amp;$C13,Tabela2[[aux]:[aux]],0)),"-")</f>
        <v>-</v>
      </c>
      <c r="F13" s="7" t="str">
        <f>IFERROR(INDEX(Tabela2[[Disciplina]:[Disciplina]],MATCH($C$3&amp;F$3&amp;$C13,Tabela2[[aux]:[aux]],0)),"-")</f>
        <v>XAHC03C</v>
      </c>
      <c r="G13" s="7" t="str">
        <f>IFERROR(INDEX(Tabela2[[Disciplina]:[Disciplina]],MATCH($C$3&amp;G$3&amp;$C13,Tabela2[[aux]:[aux]],0)),"-")</f>
        <v>-</v>
      </c>
      <c r="H13" s="7" t="str">
        <f>IFERROR(INDEX(Tabela2[[Disciplina]:[Disciplina]],MATCH($C$3&amp;H$3&amp;$C13,Tabela2[[aux]:[aux]],0)),"-")</f>
        <v>-</v>
      </c>
      <c r="I13" s="7" t="str">
        <f>IFERROR(INDEX(Tabela2[[Disciplina]:[Disciplina]],MATCH($C$3&amp;I$3&amp;$C13,Tabela2[[aux]:[aux]],0)),"-")</f>
        <v>-</v>
      </c>
    </row>
    <row r="14" spans="1:26" ht="27.75" customHeight="1" x14ac:dyDescent="0.25">
      <c r="A14" s="1"/>
      <c r="B14" s="1"/>
      <c r="C14" s="10">
        <v>9</v>
      </c>
      <c r="D14" s="3">
        <v>0.69444444444444442</v>
      </c>
      <c r="E14" s="7" t="str">
        <f>IFERROR(INDEX(Tabela2[[Disciplina]:[Disciplina]],MATCH($C$3&amp;E$3&amp;$C14,Tabela2[[aux]:[aux]],0)),"-")</f>
        <v>-</v>
      </c>
      <c r="F14" s="7" t="str">
        <f>IFERROR(INDEX(Tabela2[[Disciplina]:[Disciplina]],MATCH($C$3&amp;F$3&amp;$C14,Tabela2[[aux]:[aux]],0)),"-")</f>
        <v>XAHC03C</v>
      </c>
      <c r="G14" s="7" t="str">
        <f>IFERROR(INDEX(Tabela2[[Disciplina]:[Disciplina]],MATCH($C$3&amp;G$3&amp;$C14,Tabela2[[aux]:[aux]],0)),"-")</f>
        <v>-</v>
      </c>
      <c r="H14" s="7" t="str">
        <f>IFERROR(INDEX(Tabela2[[Disciplina]:[Disciplina]],MATCH($C$3&amp;H$3&amp;$C14,Tabela2[[aux]:[aux]],0)),"-")</f>
        <v>-</v>
      </c>
      <c r="I14" s="7" t="str">
        <f>IFERROR(INDEX(Tabela2[[Disciplina]:[Disciplina]],MATCH($C$3&amp;I$3&amp;$C14,Tabela2[[aux]:[aux]],0)),"-")</f>
        <v>-</v>
      </c>
    </row>
    <row r="15" spans="1:26" ht="27.75" customHeight="1" x14ac:dyDescent="0.25">
      <c r="A15" s="1"/>
      <c r="B15" s="1"/>
      <c r="C15" s="10">
        <v>10</v>
      </c>
      <c r="D15" s="3">
        <v>0.73263888888888884</v>
      </c>
      <c r="E15" s="7" t="str">
        <f>IFERROR(INDEX(Tabela2[[Disciplina]:[Disciplina]],MATCH($C$3&amp;E$3&amp;$C15,Tabela2[[aux]:[aux]],0)),"-")</f>
        <v>-</v>
      </c>
      <c r="F15" s="7" t="str">
        <f>IFERROR(INDEX(Tabela2[[Disciplina]:[Disciplina]],MATCH($C$3&amp;F$3&amp;$C15,Tabela2[[aux]:[aux]],0)),"-")</f>
        <v>-</v>
      </c>
      <c r="G15" s="7" t="str">
        <f>IFERROR(INDEX(Tabela2[[Disciplina]:[Disciplina]],MATCH($C$3&amp;G$3&amp;$C15,Tabela2[[aux]:[aux]],0)),"-")</f>
        <v>-</v>
      </c>
      <c r="H15" s="7" t="str">
        <f>IFERROR(INDEX(Tabela2[[Disciplina]:[Disciplina]],MATCH($C$3&amp;H$3&amp;$C15,Tabela2[[aux]:[aux]],0)),"-")</f>
        <v>-</v>
      </c>
      <c r="I15" s="7" t="str">
        <f>IFERROR(INDEX(Tabela2[[Disciplina]:[Disciplina]],MATCH($C$3&amp;I$3&amp;$C15,Tabela2[[aux]:[aux]],0)),"-")</f>
        <v>-</v>
      </c>
    </row>
    <row r="16" spans="1:26" ht="27.75" customHeight="1" x14ac:dyDescent="0.25">
      <c r="A16" s="1"/>
      <c r="B16" s="1"/>
    </row>
    <row r="17" spans="1:2" ht="27.75" customHeight="1" x14ac:dyDescent="0.25">
      <c r="A17" s="1"/>
      <c r="B17" s="1"/>
    </row>
    <row r="18" spans="1:2" ht="27.75" customHeight="1" x14ac:dyDescent="0.25">
      <c r="A18" s="1"/>
      <c r="B18" s="1"/>
    </row>
    <row r="19" spans="1:2" ht="27.75" customHeight="1" x14ac:dyDescent="0.25">
      <c r="A19" s="1"/>
      <c r="B19" s="1"/>
    </row>
    <row r="20" spans="1:2" ht="27.75" customHeight="1" x14ac:dyDescent="0.25">
      <c r="A20" s="1"/>
      <c r="B20" s="1"/>
    </row>
    <row r="21" spans="1:2" ht="27.75" customHeight="1" x14ac:dyDescent="0.25">
      <c r="A21" s="1"/>
      <c r="B21" s="1"/>
    </row>
    <row r="22" spans="1:2" ht="27.75" customHeight="1" x14ac:dyDescent="0.25">
      <c r="A22" s="1"/>
      <c r="B22" s="1"/>
    </row>
    <row r="23" spans="1:2" ht="27.75" customHeight="1" x14ac:dyDescent="0.25">
      <c r="A23" s="1"/>
      <c r="B23" s="1"/>
    </row>
    <row r="24" spans="1:2" ht="27.75" customHeight="1" x14ac:dyDescent="0.25">
      <c r="A24" s="1"/>
      <c r="B24" s="1"/>
    </row>
    <row r="25" spans="1:2" ht="27.75" customHeight="1" x14ac:dyDescent="0.25">
      <c r="A25" s="1"/>
      <c r="B25" s="1"/>
    </row>
    <row r="26" spans="1:2" ht="27.75" customHeight="1" x14ac:dyDescent="0.25">
      <c r="A26" s="1"/>
      <c r="B26" s="1"/>
    </row>
    <row r="27" spans="1:2" ht="27.75" customHeight="1" x14ac:dyDescent="0.25">
      <c r="A27" s="1"/>
      <c r="B27" s="1"/>
    </row>
    <row r="28" spans="1:2" ht="27.75" customHeight="1" x14ac:dyDescent="0.25">
      <c r="A28" s="1"/>
      <c r="B28" s="1"/>
    </row>
    <row r="29" spans="1:2" ht="27.75" customHeight="1" x14ac:dyDescent="0.25">
      <c r="A29" s="1"/>
      <c r="B29" s="1"/>
    </row>
    <row r="30" spans="1:2" ht="27.75" customHeight="1" x14ac:dyDescent="0.25">
      <c r="A30" s="1"/>
      <c r="B30" s="1"/>
    </row>
    <row r="31" spans="1:2" ht="27.75" customHeight="1" x14ac:dyDescent="0.25">
      <c r="A31" s="1"/>
      <c r="B31" s="1"/>
    </row>
    <row r="32" spans="1:2" ht="27.75" customHeight="1" x14ac:dyDescent="0.25">
      <c r="A32" s="1"/>
      <c r="B32" s="1"/>
    </row>
    <row r="33" spans="1:2" ht="27.75" customHeight="1" x14ac:dyDescent="0.25">
      <c r="A33" s="1"/>
      <c r="B33" s="1"/>
    </row>
    <row r="34" spans="1:2" ht="27.75" customHeight="1" x14ac:dyDescent="0.25">
      <c r="A34" s="1"/>
      <c r="B34" s="1"/>
    </row>
    <row r="35" spans="1:2" ht="27.75" customHeight="1" x14ac:dyDescent="0.25">
      <c r="A35" s="1"/>
      <c r="B35" s="1"/>
    </row>
    <row r="36" spans="1:2" ht="27.75" customHeight="1" x14ac:dyDescent="0.25">
      <c r="A36" s="1"/>
      <c r="B36" s="1"/>
    </row>
    <row r="37" spans="1:2" ht="27.75" customHeight="1" x14ac:dyDescent="0.25">
      <c r="A37" s="1"/>
      <c r="B37" s="1"/>
    </row>
    <row r="38" spans="1:2" ht="27.75" customHeight="1" x14ac:dyDescent="0.25">
      <c r="A38" s="1"/>
      <c r="B38" s="1"/>
    </row>
    <row r="39" spans="1:2" ht="27.75" customHeight="1" x14ac:dyDescent="0.25">
      <c r="A39" s="1"/>
      <c r="B39" s="1"/>
    </row>
    <row r="40" spans="1:2" ht="27.75" customHeight="1" x14ac:dyDescent="0.25">
      <c r="A40" s="1"/>
      <c r="B40" s="1"/>
    </row>
    <row r="41" spans="1:2" ht="27.75" customHeight="1" x14ac:dyDescent="0.25">
      <c r="A41" s="1"/>
      <c r="B41" s="1"/>
    </row>
    <row r="42" spans="1:2" ht="27.75" customHeight="1" x14ac:dyDescent="0.25">
      <c r="A42" s="1"/>
      <c r="B42" s="1"/>
    </row>
    <row r="43" spans="1:2" ht="27.75" customHeight="1" x14ac:dyDescent="0.25">
      <c r="A43" s="1"/>
      <c r="B43" s="1"/>
    </row>
    <row r="44" spans="1:2" ht="27.75" customHeight="1" x14ac:dyDescent="0.25">
      <c r="A44" s="1"/>
      <c r="B44" s="1"/>
    </row>
    <row r="45" spans="1:2" ht="27.75" customHeight="1" x14ac:dyDescent="0.25">
      <c r="A45" s="1"/>
      <c r="B45" s="1"/>
    </row>
    <row r="46" spans="1:2" ht="27.75" customHeight="1" x14ac:dyDescent="0.25">
      <c r="A46" s="1"/>
      <c r="B46" s="1"/>
    </row>
    <row r="47" spans="1:2" ht="27.75" customHeight="1" x14ac:dyDescent="0.25">
      <c r="A47" s="1"/>
      <c r="B47" s="1"/>
    </row>
    <row r="48" spans="1:2" ht="27.75" customHeight="1" x14ac:dyDescent="0.25">
      <c r="A48" s="1"/>
      <c r="B48" s="1"/>
    </row>
    <row r="49" spans="1:2" ht="27.75" customHeight="1" x14ac:dyDescent="0.25">
      <c r="A49" s="1"/>
      <c r="B49" s="1"/>
    </row>
    <row r="50" spans="1:2" ht="27.75" customHeight="1" x14ac:dyDescent="0.25">
      <c r="A50" s="1"/>
      <c r="B50" s="1"/>
    </row>
    <row r="51" spans="1:2" ht="27.75" customHeight="1" x14ac:dyDescent="0.25">
      <c r="A51" s="1"/>
      <c r="B51" s="1"/>
    </row>
    <row r="52" spans="1:2" ht="27.75" customHeight="1" x14ac:dyDescent="0.25">
      <c r="A52" s="1"/>
      <c r="B52" s="1"/>
    </row>
    <row r="53" spans="1:2" ht="27.75" customHeight="1" x14ac:dyDescent="0.25">
      <c r="A53" s="1"/>
      <c r="B53" s="1"/>
    </row>
    <row r="54" spans="1:2" ht="27.75" customHeight="1" x14ac:dyDescent="0.25">
      <c r="A54" s="1"/>
      <c r="B54" s="1"/>
    </row>
    <row r="55" spans="1:2" ht="27.75" customHeight="1" x14ac:dyDescent="0.25">
      <c r="A55" s="1"/>
      <c r="B55" s="1"/>
    </row>
    <row r="56" spans="1:2" ht="27.75" customHeight="1" x14ac:dyDescent="0.25">
      <c r="A56" s="1"/>
      <c r="B56" s="1"/>
    </row>
    <row r="57" spans="1:2" ht="27.75" customHeight="1" x14ac:dyDescent="0.25">
      <c r="A57" s="1"/>
      <c r="B57" s="1"/>
    </row>
    <row r="58" spans="1:2" ht="27.75" customHeight="1" x14ac:dyDescent="0.25">
      <c r="A58" s="1"/>
      <c r="B58" s="1"/>
    </row>
    <row r="59" spans="1:2" ht="27.75" customHeight="1" x14ac:dyDescent="0.25">
      <c r="A59" s="1"/>
      <c r="B59" s="1"/>
    </row>
    <row r="60" spans="1:2" ht="27.75" customHeight="1" x14ac:dyDescent="0.25">
      <c r="A60" s="1"/>
      <c r="B60" s="1"/>
    </row>
    <row r="61" spans="1:2" ht="27.75" customHeight="1" x14ac:dyDescent="0.25">
      <c r="A61" s="1"/>
      <c r="B61" s="1"/>
    </row>
    <row r="62" spans="1:2" ht="27.75" customHeight="1" x14ac:dyDescent="0.25">
      <c r="A62" s="1"/>
      <c r="B62" s="1"/>
    </row>
    <row r="63" spans="1:2" ht="27.75" customHeight="1" x14ac:dyDescent="0.25">
      <c r="A63" s="1"/>
      <c r="B63" s="1"/>
    </row>
    <row r="64" spans="1:2" ht="27.75" customHeight="1" x14ac:dyDescent="0.25">
      <c r="A64" s="1"/>
      <c r="B64" s="1"/>
    </row>
    <row r="65" spans="1:2" ht="27.75" customHeight="1" x14ac:dyDescent="0.25">
      <c r="A65" s="1"/>
      <c r="B65" s="1"/>
    </row>
    <row r="66" spans="1:2" ht="27.75" customHeight="1" x14ac:dyDescent="0.25">
      <c r="A66" s="1"/>
      <c r="B66" s="1"/>
    </row>
    <row r="67" spans="1:2" ht="27.75" customHeight="1" x14ac:dyDescent="0.25">
      <c r="A67" s="1"/>
      <c r="B67" s="1"/>
    </row>
    <row r="68" spans="1:2" ht="27.75" customHeight="1" x14ac:dyDescent="0.25">
      <c r="A68" s="1"/>
      <c r="B68" s="1"/>
    </row>
    <row r="69" spans="1:2" ht="27.75" customHeight="1" x14ac:dyDescent="0.25">
      <c r="A69" s="1"/>
      <c r="B69" s="1"/>
    </row>
    <row r="70" spans="1:2" ht="27.75" customHeight="1" x14ac:dyDescent="0.25">
      <c r="A70" s="1"/>
      <c r="B70" s="1"/>
    </row>
    <row r="71" spans="1:2" ht="27.75" customHeight="1" x14ac:dyDescent="0.25">
      <c r="A71" s="1"/>
      <c r="B71" s="1"/>
    </row>
    <row r="72" spans="1:2" ht="27.75" customHeight="1" x14ac:dyDescent="0.25">
      <c r="A72" s="1"/>
      <c r="B72" s="1"/>
    </row>
    <row r="73" spans="1:2" ht="27.75" customHeight="1" x14ac:dyDescent="0.25">
      <c r="A73" s="1"/>
      <c r="B73" s="1"/>
    </row>
    <row r="74" spans="1:2" ht="27.75" customHeight="1" x14ac:dyDescent="0.25">
      <c r="A74" s="1"/>
      <c r="B74" s="1"/>
    </row>
    <row r="75" spans="1:2" ht="27.75" customHeight="1" x14ac:dyDescent="0.25">
      <c r="A75" s="1"/>
      <c r="B75" s="1"/>
    </row>
    <row r="76" spans="1:2" ht="27.75" customHeight="1" x14ac:dyDescent="0.25">
      <c r="A76" s="1"/>
      <c r="B76" s="1"/>
    </row>
    <row r="77" spans="1:2" ht="27.75" customHeight="1" x14ac:dyDescent="0.25">
      <c r="A77" s="1"/>
      <c r="B77" s="1"/>
    </row>
    <row r="78" spans="1:2" ht="27.75" customHeight="1" x14ac:dyDescent="0.25">
      <c r="A78" s="1"/>
      <c r="B78" s="1"/>
    </row>
    <row r="79" spans="1:2" ht="27.75" customHeight="1" x14ac:dyDescent="0.25">
      <c r="A79" s="1"/>
      <c r="B79" s="1"/>
    </row>
    <row r="80" spans="1:2" ht="27.75" customHeight="1" x14ac:dyDescent="0.25">
      <c r="A80" s="1"/>
      <c r="B80" s="1"/>
    </row>
    <row r="81" spans="1:2" ht="27.75" customHeight="1" x14ac:dyDescent="0.25">
      <c r="A81" s="1"/>
      <c r="B81" s="1"/>
    </row>
    <row r="82" spans="1:2" ht="27.75" customHeight="1" x14ac:dyDescent="0.25">
      <c r="A82" s="1"/>
      <c r="B82" s="1"/>
    </row>
    <row r="83" spans="1:2" ht="27.75" customHeight="1" x14ac:dyDescent="0.25">
      <c r="A83" s="1"/>
      <c r="B83" s="1"/>
    </row>
    <row r="84" spans="1:2" ht="27.75" customHeight="1" x14ac:dyDescent="0.25">
      <c r="A84" s="1"/>
      <c r="B84" s="1"/>
    </row>
    <row r="85" spans="1:2" ht="27.75" customHeight="1" x14ac:dyDescent="0.25">
      <c r="A85" s="1"/>
      <c r="B85" s="1"/>
    </row>
    <row r="86" spans="1:2" ht="27.75" customHeight="1" x14ac:dyDescent="0.25">
      <c r="A86" s="1"/>
      <c r="B86" s="1"/>
    </row>
    <row r="87" spans="1:2" ht="27.75" customHeight="1" x14ac:dyDescent="0.25">
      <c r="A87" s="1"/>
      <c r="B87" s="1"/>
    </row>
    <row r="88" spans="1:2" ht="27.75" customHeight="1" x14ac:dyDescent="0.25">
      <c r="A88" s="1"/>
      <c r="B88" s="1"/>
    </row>
    <row r="89" spans="1:2" ht="27.75" customHeight="1" x14ac:dyDescent="0.25">
      <c r="A89" s="1"/>
      <c r="B89" s="1"/>
    </row>
    <row r="90" spans="1:2" ht="27.75" customHeight="1" x14ac:dyDescent="0.25">
      <c r="A90" s="1"/>
      <c r="B90" s="1"/>
    </row>
    <row r="91" spans="1:2" ht="27.75" customHeight="1" x14ac:dyDescent="0.25">
      <c r="A91" s="1"/>
      <c r="B91" s="1"/>
    </row>
    <row r="92" spans="1:2" ht="27.75" customHeight="1" x14ac:dyDescent="0.25">
      <c r="A92" s="1"/>
      <c r="B92" s="1"/>
    </row>
    <row r="93" spans="1:2" ht="27.75" customHeight="1" x14ac:dyDescent="0.25">
      <c r="A93" s="1"/>
      <c r="B93" s="1"/>
    </row>
    <row r="94" spans="1:2" ht="27.75" customHeight="1" x14ac:dyDescent="0.25">
      <c r="A94" s="1"/>
      <c r="B94" s="1"/>
    </row>
    <row r="95" spans="1:2" ht="27.75" customHeight="1" x14ac:dyDescent="0.25">
      <c r="A95" s="1"/>
      <c r="B95" s="1"/>
    </row>
    <row r="96" spans="1:2" ht="27.75" customHeight="1" x14ac:dyDescent="0.25">
      <c r="A96" s="1"/>
      <c r="B96" s="1"/>
    </row>
    <row r="97" spans="1:2" ht="27.75" customHeight="1" x14ac:dyDescent="0.25">
      <c r="A97" s="1"/>
      <c r="B97" s="1"/>
    </row>
    <row r="98" spans="1:2" ht="27.75" customHeight="1" x14ac:dyDescent="0.25">
      <c r="A98" s="1"/>
      <c r="B98" s="1"/>
    </row>
    <row r="99" spans="1:2" ht="27.75" customHeight="1" x14ac:dyDescent="0.25">
      <c r="A99" s="1"/>
      <c r="B99" s="1"/>
    </row>
    <row r="100" spans="1:2" ht="27.75" customHeight="1" x14ac:dyDescent="0.25">
      <c r="A100" s="1"/>
      <c r="B100" s="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A1FD0-D3C5-41F3-8CED-7A760C7B430B}">
  <sheetPr codeName="Planilha9"/>
  <dimension ref="A1:Z100"/>
  <sheetViews>
    <sheetView showGridLines="0" showRowColHeaders="0" workbookViewId="0"/>
  </sheetViews>
  <sheetFormatPr defaultColWidth="14.85546875" defaultRowHeight="27.75" customHeight="1" x14ac:dyDescent="0.25"/>
  <cols>
    <col min="1" max="2" width="14.85546875" style="2"/>
    <col min="3" max="10" width="21.28515625" style="2" customWidth="1"/>
    <col min="11" max="16384" width="14.85546875" style="2"/>
  </cols>
  <sheetData>
    <row r="1" spans="1:26" ht="32.2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27.75" customHeight="1" x14ac:dyDescent="0.25">
      <c r="A2" s="1"/>
      <c r="B2" s="1"/>
    </row>
    <row r="3" spans="1:26" ht="27.75" customHeight="1" x14ac:dyDescent="0.25">
      <c r="A3" s="1"/>
      <c r="B3" s="1"/>
      <c r="C3" s="10" t="s">
        <v>16</v>
      </c>
      <c r="E3" s="10">
        <v>1</v>
      </c>
      <c r="F3" s="10">
        <v>2</v>
      </c>
      <c r="G3" s="10">
        <v>3</v>
      </c>
      <c r="H3" s="10">
        <v>4</v>
      </c>
      <c r="I3" s="10">
        <v>5</v>
      </c>
    </row>
    <row r="4" spans="1:26" ht="27.75" customHeight="1" x14ac:dyDescent="0.25">
      <c r="A4" s="1"/>
      <c r="B4" s="1"/>
      <c r="D4" s="8"/>
      <c r="E4" s="9" t="s">
        <v>0</v>
      </c>
      <c r="F4" s="9" t="s">
        <v>1</v>
      </c>
      <c r="G4" s="9" t="s">
        <v>2</v>
      </c>
      <c r="H4" s="9" t="s">
        <v>3</v>
      </c>
      <c r="I4" s="9" t="s">
        <v>4</v>
      </c>
    </row>
    <row r="5" spans="1:26" ht="27.75" customHeight="1" x14ac:dyDescent="0.25">
      <c r="A5" s="1"/>
      <c r="B5" s="1"/>
      <c r="C5" s="10">
        <v>11</v>
      </c>
      <c r="D5" s="6">
        <v>0.79166666666666663</v>
      </c>
      <c r="E5" s="7" t="str">
        <f>IFERROR(INDEX(Tabela2[[Disciplina]:[Disciplina]],MATCH($C$3&amp;E$3&amp;$C5,Tabela2[[aux]:[aux]],0)),"-")</f>
        <v>-</v>
      </c>
      <c r="F5" s="7" t="str">
        <f>IFERROR(INDEX(Tabela2[[Disciplina]:[Disciplina]],MATCH($C$3&amp;F$3&amp;$C5,Tabela2[[aux]:[aux]],0)),"-")</f>
        <v>MAT00AS</v>
      </c>
      <c r="G5" s="7" t="str">
        <f>IFERROR(INDEX(Tabela2[[Disciplina]:[Disciplina]],MATCH($C$3&amp;G$3&amp;$C5,Tabela2[[aux]:[aux]],0)),"-")</f>
        <v>MAT00AS</v>
      </c>
      <c r="H5" s="7" t="str">
        <f>IFERROR(INDEX(Tabela2[[Disciplina]:[Disciplina]],MATCH($C$3&amp;H$3&amp;$C5,Tabela2[[aux]:[aux]],0)),"-")</f>
        <v>XDES01S</v>
      </c>
      <c r="I5" s="7" t="str">
        <f>IFERROR(INDEX(Tabela2[[Disciplina]:[Disciplina]],MATCH($C$3&amp;I$3&amp;$C5,Tabela2[[aux]:[aux]],0)),"-")</f>
        <v>IEPG01S</v>
      </c>
    </row>
    <row r="6" spans="1:26" ht="27.75" customHeight="1" x14ac:dyDescent="0.25">
      <c r="A6" s="1"/>
      <c r="B6" s="1"/>
      <c r="C6" s="10">
        <v>12</v>
      </c>
      <c r="D6" s="3">
        <v>0.82638888888888884</v>
      </c>
      <c r="E6" s="7" t="str">
        <f>IFERROR(INDEX(Tabela2[[Disciplina]:[Disciplina]],MATCH($C$3&amp;E$3&amp;$C6,Tabela2[[aux]:[aux]],0)),"-")</f>
        <v>XDES01S</v>
      </c>
      <c r="F6" s="7" t="str">
        <f>IFERROR(INDEX(Tabela2[[Disciplina]:[Disciplina]],MATCH($C$3&amp;F$3&amp;$C6,Tabela2[[aux]:[aux]],0)),"-")</f>
        <v>IEPG22S</v>
      </c>
      <c r="G6" s="7" t="str">
        <f>IFERROR(INDEX(Tabela2[[Disciplina]:[Disciplina]],MATCH($C$3&amp;G$3&amp;$C6,Tabela2[[aux]:[aux]],0)),"-")</f>
        <v>MAT00AS</v>
      </c>
      <c r="H6" s="7" t="str">
        <f>IFERROR(INDEX(Tabela2[[Disciplina]:[Disciplina]],MATCH($C$3&amp;H$3&amp;$C6,Tabela2[[aux]:[aux]],0)),"-")</f>
        <v>XDES01S</v>
      </c>
      <c r="I6" s="7" t="str">
        <f>IFERROR(INDEX(Tabela2[[Disciplina]:[Disciplina]],MATCH($C$3&amp;I$3&amp;$C6,Tabela2[[aux]:[aux]],0)),"-")</f>
        <v>IEPG01S</v>
      </c>
    </row>
    <row r="7" spans="1:26" ht="27.75" customHeight="1" x14ac:dyDescent="0.25">
      <c r="A7" s="1"/>
      <c r="B7" s="1"/>
      <c r="C7" s="10">
        <v>13</v>
      </c>
      <c r="D7" s="3">
        <v>0.875</v>
      </c>
      <c r="E7" s="7" t="str">
        <f>IFERROR(INDEX(Tabela2[[Disciplina]:[Disciplina]],MATCH($C$3&amp;E$3&amp;$C7,Tabela2[[aux]:[aux]],0)),"-")</f>
        <v>XDES01S</v>
      </c>
      <c r="F7" s="7" t="str">
        <f>IFERROR(INDEX(Tabela2[[Disciplina]:[Disciplina]],MATCH($C$3&amp;F$3&amp;$C7,Tabela2[[aux]:[aux]],0)),"-")</f>
        <v>IEPG22S</v>
      </c>
      <c r="G7" s="7" t="str">
        <f>IFERROR(INDEX(Tabela2[[Disciplina]:[Disciplina]],MATCH($C$3&amp;G$3&amp;$C7,Tabela2[[aux]:[aux]],0)),"-")</f>
        <v>IEPG01S</v>
      </c>
      <c r="H7" s="7" t="str">
        <f>IFERROR(INDEX(Tabela2[[Disciplina]:[Disciplina]],MATCH($C$3&amp;H$3&amp;$C7,Tabela2[[aux]:[aux]],0)),"-")</f>
        <v>MAT00AS</v>
      </c>
      <c r="I7" s="7" t="str">
        <f>IFERROR(INDEX(Tabela2[[Disciplina]:[Disciplina]],MATCH($C$3&amp;I$3&amp;$C7,Tabela2[[aux]:[aux]],0)),"-")</f>
        <v>SAHC05S</v>
      </c>
    </row>
    <row r="8" spans="1:26" ht="27.75" customHeight="1" x14ac:dyDescent="0.25">
      <c r="A8" s="1"/>
      <c r="B8" s="1"/>
      <c r="C8" s="10">
        <v>14</v>
      </c>
      <c r="D8" s="3">
        <v>0.90972222222222221</v>
      </c>
      <c r="E8" s="7" t="str">
        <f>IFERROR(INDEX(Tabela2[[Disciplina]:[Disciplina]],MATCH($C$3&amp;E$3&amp;$C8,Tabela2[[aux]:[aux]],0)),"-")</f>
        <v>SAHC05S</v>
      </c>
      <c r="F8" s="7" t="str">
        <f>IFERROR(INDEX(Tabela2[[Disciplina]:[Disciplina]],MATCH($C$3&amp;F$3&amp;$C8,Tabela2[[aux]:[aux]],0)),"-")</f>
        <v>-</v>
      </c>
      <c r="G8" s="7" t="str">
        <f>IFERROR(INDEX(Tabela2[[Disciplina]:[Disciplina]],MATCH($C$3&amp;G$3&amp;$C8,Tabela2[[aux]:[aux]],0)),"-")</f>
        <v>-</v>
      </c>
      <c r="H8" s="7" t="str">
        <f>IFERROR(INDEX(Tabela2[[Disciplina]:[Disciplina]],MATCH($C$3&amp;H$3&amp;$C8,Tabela2[[aux]:[aux]],0)),"-")</f>
        <v>SAHC04S</v>
      </c>
      <c r="I8" s="7" t="str">
        <f>IFERROR(INDEX(Tabela2[[Disciplina]:[Disciplina]],MATCH($C$3&amp;I$3&amp;$C8,Tabela2[[aux]:[aux]],0)),"-")</f>
        <v>SAHC05S</v>
      </c>
    </row>
    <row r="9" spans="1:26" ht="27.75" customHeight="1" x14ac:dyDescent="0.25">
      <c r="A9" s="1"/>
      <c r="B9" s="1"/>
      <c r="C9" s="10">
        <v>15</v>
      </c>
      <c r="D9" s="3">
        <v>0.94444444444444442</v>
      </c>
      <c r="E9" s="7" t="str">
        <f>IFERROR(INDEX(Tabela2[[Disciplina]:[Disciplina]],MATCH($C$3&amp;E$3&amp;$C9,Tabela2[[aux]:[aux]],0)),"-")</f>
        <v>SAHC05S</v>
      </c>
      <c r="F9" s="7" t="str">
        <f>IFERROR(INDEX(Tabela2[[Disciplina]:[Disciplina]],MATCH($C$3&amp;F$3&amp;$C9,Tabela2[[aux]:[aux]],0)),"-")</f>
        <v>-</v>
      </c>
      <c r="G9" s="7" t="str">
        <f>IFERROR(INDEX(Tabela2[[Disciplina]:[Disciplina]],MATCH($C$3&amp;G$3&amp;$C9,Tabela2[[aux]:[aux]],0)),"-")</f>
        <v>-</v>
      </c>
      <c r="H9" s="7" t="str">
        <f>IFERROR(INDEX(Tabela2[[Disciplina]:[Disciplina]],MATCH($C$3&amp;H$3&amp;$C9,Tabela2[[aux]:[aux]],0)),"-")</f>
        <v>SAHC04S</v>
      </c>
      <c r="I9" s="7" t="str">
        <f>IFERROR(INDEX(Tabela2[[Disciplina]:[Disciplina]],MATCH($C$3&amp;I$3&amp;$C9,Tabela2[[aux]:[aux]],0)),"-")</f>
        <v>-</v>
      </c>
    </row>
    <row r="10" spans="1:26" ht="9" customHeight="1" x14ac:dyDescent="0.25">
      <c r="A10" s="1"/>
      <c r="B10" s="1"/>
      <c r="C10" s="10"/>
    </row>
    <row r="11" spans="1:26" ht="27.75" customHeight="1" x14ac:dyDescent="0.25">
      <c r="A11" s="1"/>
      <c r="B11" s="1"/>
      <c r="C11" s="10"/>
    </row>
    <row r="12" spans="1:26" ht="27.75" customHeight="1" x14ac:dyDescent="0.25">
      <c r="A12" s="1"/>
      <c r="B12" s="1"/>
      <c r="C12" s="10"/>
    </row>
    <row r="13" spans="1:26" ht="27.75" customHeight="1" x14ac:dyDescent="0.25">
      <c r="A13" s="1"/>
      <c r="B13" s="1"/>
      <c r="C13" s="10"/>
    </row>
    <row r="14" spans="1:26" ht="27.75" customHeight="1" x14ac:dyDescent="0.25">
      <c r="A14" s="1"/>
      <c r="B14" s="1"/>
      <c r="C14" s="10"/>
    </row>
    <row r="15" spans="1:26" ht="27.75" customHeight="1" x14ac:dyDescent="0.25">
      <c r="A15" s="1"/>
      <c r="B15" s="1"/>
      <c r="C15" s="10"/>
    </row>
    <row r="16" spans="1:26" ht="27.75" customHeight="1" x14ac:dyDescent="0.25">
      <c r="A16" s="1"/>
      <c r="B16" s="1"/>
    </row>
    <row r="17" spans="1:2" ht="27.75" customHeight="1" x14ac:dyDescent="0.25">
      <c r="A17" s="1"/>
      <c r="B17" s="1"/>
    </row>
    <row r="18" spans="1:2" ht="27.75" customHeight="1" x14ac:dyDescent="0.25">
      <c r="A18" s="1"/>
      <c r="B18" s="1"/>
    </row>
    <row r="19" spans="1:2" ht="27.75" customHeight="1" x14ac:dyDescent="0.25">
      <c r="A19" s="1"/>
      <c r="B19" s="1"/>
    </row>
    <row r="20" spans="1:2" ht="27.75" customHeight="1" x14ac:dyDescent="0.25">
      <c r="A20" s="1"/>
      <c r="B20" s="1"/>
    </row>
    <row r="21" spans="1:2" ht="27.75" customHeight="1" x14ac:dyDescent="0.25">
      <c r="A21" s="1"/>
      <c r="B21" s="1"/>
    </row>
    <row r="22" spans="1:2" ht="27.75" customHeight="1" x14ac:dyDescent="0.25">
      <c r="A22" s="1"/>
      <c r="B22" s="1"/>
    </row>
    <row r="23" spans="1:2" ht="27.75" customHeight="1" x14ac:dyDescent="0.25">
      <c r="A23" s="1"/>
      <c r="B23" s="1"/>
    </row>
    <row r="24" spans="1:2" ht="27.75" customHeight="1" x14ac:dyDescent="0.25">
      <c r="A24" s="1"/>
      <c r="B24" s="1"/>
    </row>
    <row r="25" spans="1:2" ht="27.75" customHeight="1" x14ac:dyDescent="0.25">
      <c r="A25" s="1"/>
      <c r="B25" s="1"/>
    </row>
    <row r="26" spans="1:2" ht="27.75" customHeight="1" x14ac:dyDescent="0.25">
      <c r="A26" s="1"/>
      <c r="B26" s="1"/>
    </row>
    <row r="27" spans="1:2" ht="27.75" customHeight="1" x14ac:dyDescent="0.25">
      <c r="A27" s="1"/>
      <c r="B27" s="1"/>
    </row>
    <row r="28" spans="1:2" ht="27.75" customHeight="1" x14ac:dyDescent="0.25">
      <c r="A28" s="1"/>
      <c r="B28" s="1"/>
    </row>
    <row r="29" spans="1:2" ht="27.75" customHeight="1" x14ac:dyDescent="0.25">
      <c r="A29" s="1"/>
      <c r="B29" s="1"/>
    </row>
    <row r="30" spans="1:2" ht="27.75" customHeight="1" x14ac:dyDescent="0.25">
      <c r="A30" s="1"/>
      <c r="B30" s="1"/>
    </row>
    <row r="31" spans="1:2" ht="27.75" customHeight="1" x14ac:dyDescent="0.25">
      <c r="A31" s="1"/>
      <c r="B31" s="1"/>
    </row>
    <row r="32" spans="1:2" ht="27.75" customHeight="1" x14ac:dyDescent="0.25">
      <c r="A32" s="1"/>
      <c r="B32" s="1"/>
    </row>
    <row r="33" spans="1:2" ht="27.75" customHeight="1" x14ac:dyDescent="0.25">
      <c r="A33" s="1"/>
      <c r="B33" s="1"/>
    </row>
    <row r="34" spans="1:2" ht="27.75" customHeight="1" x14ac:dyDescent="0.25">
      <c r="A34" s="1"/>
      <c r="B34" s="1"/>
    </row>
    <row r="35" spans="1:2" ht="27.75" customHeight="1" x14ac:dyDescent="0.25">
      <c r="A35" s="1"/>
      <c r="B35" s="1"/>
    </row>
    <row r="36" spans="1:2" ht="27.75" customHeight="1" x14ac:dyDescent="0.25">
      <c r="A36" s="1"/>
      <c r="B36" s="1"/>
    </row>
    <row r="37" spans="1:2" ht="27.75" customHeight="1" x14ac:dyDescent="0.25">
      <c r="A37" s="1"/>
      <c r="B37" s="1"/>
    </row>
    <row r="38" spans="1:2" ht="27.75" customHeight="1" x14ac:dyDescent="0.25">
      <c r="A38" s="1"/>
      <c r="B38" s="1"/>
    </row>
    <row r="39" spans="1:2" ht="27.75" customHeight="1" x14ac:dyDescent="0.25">
      <c r="A39" s="1"/>
      <c r="B39" s="1"/>
    </row>
    <row r="40" spans="1:2" ht="27.75" customHeight="1" x14ac:dyDescent="0.25">
      <c r="A40" s="1"/>
      <c r="B40" s="1"/>
    </row>
    <row r="41" spans="1:2" ht="27.75" customHeight="1" x14ac:dyDescent="0.25">
      <c r="A41" s="1"/>
      <c r="B41" s="1"/>
    </row>
    <row r="42" spans="1:2" ht="27.75" customHeight="1" x14ac:dyDescent="0.25">
      <c r="A42" s="1"/>
      <c r="B42" s="1"/>
    </row>
    <row r="43" spans="1:2" ht="27.75" customHeight="1" x14ac:dyDescent="0.25">
      <c r="A43" s="1"/>
      <c r="B43" s="1"/>
    </row>
    <row r="44" spans="1:2" ht="27.75" customHeight="1" x14ac:dyDescent="0.25">
      <c r="A44" s="1"/>
      <c r="B44" s="1"/>
    </row>
    <row r="45" spans="1:2" ht="27.75" customHeight="1" x14ac:dyDescent="0.25">
      <c r="A45" s="1"/>
      <c r="B45" s="1"/>
    </row>
    <row r="46" spans="1:2" ht="27.75" customHeight="1" x14ac:dyDescent="0.25">
      <c r="A46" s="1"/>
      <c r="B46" s="1"/>
    </row>
    <row r="47" spans="1:2" ht="27.75" customHeight="1" x14ac:dyDescent="0.25">
      <c r="A47" s="1"/>
      <c r="B47" s="1"/>
    </row>
    <row r="48" spans="1:2" ht="27.75" customHeight="1" x14ac:dyDescent="0.25">
      <c r="A48" s="1"/>
      <c r="B48" s="1"/>
    </row>
    <row r="49" spans="1:2" ht="27.75" customHeight="1" x14ac:dyDescent="0.25">
      <c r="A49" s="1"/>
      <c r="B49" s="1"/>
    </row>
    <row r="50" spans="1:2" ht="27.75" customHeight="1" x14ac:dyDescent="0.25">
      <c r="A50" s="1"/>
      <c r="B50" s="1"/>
    </row>
    <row r="51" spans="1:2" ht="27.75" customHeight="1" x14ac:dyDescent="0.25">
      <c r="A51" s="1"/>
      <c r="B51" s="1"/>
    </row>
    <row r="52" spans="1:2" ht="27.75" customHeight="1" x14ac:dyDescent="0.25">
      <c r="A52" s="1"/>
      <c r="B52" s="1"/>
    </row>
    <row r="53" spans="1:2" ht="27.75" customHeight="1" x14ac:dyDescent="0.25">
      <c r="A53" s="1"/>
      <c r="B53" s="1"/>
    </row>
    <row r="54" spans="1:2" ht="27.75" customHeight="1" x14ac:dyDescent="0.25">
      <c r="A54" s="1"/>
      <c r="B54" s="1"/>
    </row>
    <row r="55" spans="1:2" ht="27.75" customHeight="1" x14ac:dyDescent="0.25">
      <c r="A55" s="1"/>
      <c r="B55" s="1"/>
    </row>
    <row r="56" spans="1:2" ht="27.75" customHeight="1" x14ac:dyDescent="0.25">
      <c r="A56" s="1"/>
      <c r="B56" s="1"/>
    </row>
    <row r="57" spans="1:2" ht="27.75" customHeight="1" x14ac:dyDescent="0.25">
      <c r="A57" s="1"/>
      <c r="B57" s="1"/>
    </row>
    <row r="58" spans="1:2" ht="27.75" customHeight="1" x14ac:dyDescent="0.25">
      <c r="A58" s="1"/>
      <c r="B58" s="1"/>
    </row>
    <row r="59" spans="1:2" ht="27.75" customHeight="1" x14ac:dyDescent="0.25">
      <c r="A59" s="1"/>
      <c r="B59" s="1"/>
    </row>
    <row r="60" spans="1:2" ht="27.75" customHeight="1" x14ac:dyDescent="0.25">
      <c r="A60" s="1"/>
      <c r="B60" s="1"/>
    </row>
    <row r="61" spans="1:2" ht="27.75" customHeight="1" x14ac:dyDescent="0.25">
      <c r="A61" s="1"/>
      <c r="B61" s="1"/>
    </row>
    <row r="62" spans="1:2" ht="27.75" customHeight="1" x14ac:dyDescent="0.25">
      <c r="A62" s="1"/>
      <c r="B62" s="1"/>
    </row>
    <row r="63" spans="1:2" ht="27.75" customHeight="1" x14ac:dyDescent="0.25">
      <c r="A63" s="1"/>
      <c r="B63" s="1"/>
    </row>
    <row r="64" spans="1:2" ht="27.75" customHeight="1" x14ac:dyDescent="0.25">
      <c r="A64" s="1"/>
      <c r="B64" s="1"/>
    </row>
    <row r="65" spans="1:2" ht="27.75" customHeight="1" x14ac:dyDescent="0.25">
      <c r="A65" s="1"/>
      <c r="B65" s="1"/>
    </row>
    <row r="66" spans="1:2" ht="27.75" customHeight="1" x14ac:dyDescent="0.25">
      <c r="A66" s="1"/>
      <c r="B66" s="1"/>
    </row>
    <row r="67" spans="1:2" ht="27.75" customHeight="1" x14ac:dyDescent="0.25">
      <c r="A67" s="1"/>
      <c r="B67" s="1"/>
    </row>
    <row r="68" spans="1:2" ht="27.75" customHeight="1" x14ac:dyDescent="0.25">
      <c r="A68" s="1"/>
      <c r="B68" s="1"/>
    </row>
    <row r="69" spans="1:2" ht="27.75" customHeight="1" x14ac:dyDescent="0.25">
      <c r="A69" s="1"/>
      <c r="B69" s="1"/>
    </row>
    <row r="70" spans="1:2" ht="27.75" customHeight="1" x14ac:dyDescent="0.25">
      <c r="A70" s="1"/>
      <c r="B70" s="1"/>
    </row>
    <row r="71" spans="1:2" ht="27.75" customHeight="1" x14ac:dyDescent="0.25">
      <c r="A71" s="1"/>
      <c r="B71" s="1"/>
    </row>
    <row r="72" spans="1:2" ht="27.75" customHeight="1" x14ac:dyDescent="0.25">
      <c r="A72" s="1"/>
      <c r="B72" s="1"/>
    </row>
    <row r="73" spans="1:2" ht="27.75" customHeight="1" x14ac:dyDescent="0.25">
      <c r="A73" s="1"/>
      <c r="B73" s="1"/>
    </row>
    <row r="74" spans="1:2" ht="27.75" customHeight="1" x14ac:dyDescent="0.25">
      <c r="A74" s="1"/>
      <c r="B74" s="1"/>
    </row>
    <row r="75" spans="1:2" ht="27.75" customHeight="1" x14ac:dyDescent="0.25">
      <c r="A75" s="1"/>
      <c r="B75" s="1"/>
    </row>
    <row r="76" spans="1:2" ht="27.75" customHeight="1" x14ac:dyDescent="0.25">
      <c r="A76" s="1"/>
      <c r="B76" s="1"/>
    </row>
    <row r="77" spans="1:2" ht="27.75" customHeight="1" x14ac:dyDescent="0.25">
      <c r="A77" s="1"/>
      <c r="B77" s="1"/>
    </row>
    <row r="78" spans="1:2" ht="27.75" customHeight="1" x14ac:dyDescent="0.25">
      <c r="A78" s="1"/>
      <c r="B78" s="1"/>
    </row>
    <row r="79" spans="1:2" ht="27.75" customHeight="1" x14ac:dyDescent="0.25">
      <c r="A79" s="1"/>
      <c r="B79" s="1"/>
    </row>
    <row r="80" spans="1:2" ht="27.75" customHeight="1" x14ac:dyDescent="0.25">
      <c r="A80" s="1"/>
      <c r="B80" s="1"/>
    </row>
    <row r="81" spans="1:2" ht="27.75" customHeight="1" x14ac:dyDescent="0.25">
      <c r="A81" s="1"/>
      <c r="B81" s="1"/>
    </row>
    <row r="82" spans="1:2" ht="27.75" customHeight="1" x14ac:dyDescent="0.25">
      <c r="A82" s="1"/>
      <c r="B82" s="1"/>
    </row>
    <row r="83" spans="1:2" ht="27.75" customHeight="1" x14ac:dyDescent="0.25">
      <c r="A83" s="1"/>
      <c r="B83" s="1"/>
    </row>
    <row r="84" spans="1:2" ht="27.75" customHeight="1" x14ac:dyDescent="0.25">
      <c r="A84" s="1"/>
      <c r="B84" s="1"/>
    </row>
    <row r="85" spans="1:2" ht="27.75" customHeight="1" x14ac:dyDescent="0.25">
      <c r="A85" s="1"/>
      <c r="B85" s="1"/>
    </row>
    <row r="86" spans="1:2" ht="27.75" customHeight="1" x14ac:dyDescent="0.25">
      <c r="A86" s="1"/>
      <c r="B86" s="1"/>
    </row>
    <row r="87" spans="1:2" ht="27.75" customHeight="1" x14ac:dyDescent="0.25">
      <c r="A87" s="1"/>
      <c r="B87" s="1"/>
    </row>
    <row r="88" spans="1:2" ht="27.75" customHeight="1" x14ac:dyDescent="0.25">
      <c r="A88" s="1"/>
      <c r="B88" s="1"/>
    </row>
    <row r="89" spans="1:2" ht="27.75" customHeight="1" x14ac:dyDescent="0.25">
      <c r="A89" s="1"/>
      <c r="B89" s="1"/>
    </row>
    <row r="90" spans="1:2" ht="27.75" customHeight="1" x14ac:dyDescent="0.25">
      <c r="A90" s="1"/>
      <c r="B90" s="1"/>
    </row>
    <row r="91" spans="1:2" ht="27.75" customHeight="1" x14ac:dyDescent="0.25">
      <c r="A91" s="1"/>
      <c r="B91" s="1"/>
    </row>
    <row r="92" spans="1:2" ht="27.75" customHeight="1" x14ac:dyDescent="0.25">
      <c r="A92" s="1"/>
      <c r="B92" s="1"/>
    </row>
    <row r="93" spans="1:2" ht="27.75" customHeight="1" x14ac:dyDescent="0.25">
      <c r="A93" s="1"/>
      <c r="B93" s="1"/>
    </row>
    <row r="94" spans="1:2" ht="27.75" customHeight="1" x14ac:dyDescent="0.25">
      <c r="A94" s="1"/>
      <c r="B94" s="1"/>
    </row>
    <row r="95" spans="1:2" ht="27.75" customHeight="1" x14ac:dyDescent="0.25">
      <c r="A95" s="1"/>
      <c r="B95" s="1"/>
    </row>
    <row r="96" spans="1:2" ht="27.75" customHeight="1" x14ac:dyDescent="0.25">
      <c r="A96" s="1"/>
      <c r="B96" s="1"/>
    </row>
    <row r="97" spans="1:2" ht="27.75" customHeight="1" x14ac:dyDescent="0.25">
      <c r="A97" s="1"/>
      <c r="B97" s="1"/>
    </row>
    <row r="98" spans="1:2" ht="27.75" customHeight="1" x14ac:dyDescent="0.25">
      <c r="A98" s="1"/>
      <c r="B98" s="1"/>
    </row>
    <row r="99" spans="1:2" ht="27.75" customHeight="1" x14ac:dyDescent="0.25">
      <c r="A99" s="1"/>
      <c r="B99" s="1"/>
    </row>
    <row r="100" spans="1:2" ht="27.75" customHeight="1" x14ac:dyDescent="0.25">
      <c r="A100" s="1"/>
      <c r="B100" s="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67DE11-D907-4908-A7A9-F61D8535FB25}">
  <sheetPr codeName="Planilha10"/>
  <dimension ref="A1:Z100"/>
  <sheetViews>
    <sheetView showGridLines="0" showRowColHeaders="0" workbookViewId="0"/>
  </sheetViews>
  <sheetFormatPr defaultColWidth="14.85546875" defaultRowHeight="27.75" customHeight="1" x14ac:dyDescent="0.25"/>
  <cols>
    <col min="1" max="2" width="14.85546875" style="2"/>
    <col min="3" max="10" width="21.28515625" style="2" customWidth="1"/>
    <col min="11" max="16384" width="14.85546875" style="2"/>
  </cols>
  <sheetData>
    <row r="1" spans="1:26" ht="32.2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27.75" customHeight="1" x14ac:dyDescent="0.25">
      <c r="A2" s="1"/>
      <c r="B2" s="1"/>
    </row>
    <row r="3" spans="1:26" ht="27.75" customHeight="1" x14ac:dyDescent="0.25">
      <c r="A3" s="1"/>
      <c r="B3" s="1"/>
      <c r="C3" s="10" t="s">
        <v>17</v>
      </c>
      <c r="E3" s="10">
        <v>1</v>
      </c>
      <c r="F3" s="10">
        <v>2</v>
      </c>
      <c r="G3" s="10">
        <v>3</v>
      </c>
      <c r="H3" s="10">
        <v>4</v>
      </c>
      <c r="I3" s="10">
        <v>5</v>
      </c>
    </row>
    <row r="4" spans="1:26" ht="27.75" customHeight="1" x14ac:dyDescent="0.25">
      <c r="A4" s="1"/>
      <c r="B4" s="1"/>
      <c r="D4" s="8"/>
      <c r="E4" s="9" t="s">
        <v>0</v>
      </c>
      <c r="F4" s="9" t="s">
        <v>1</v>
      </c>
      <c r="G4" s="9" t="s">
        <v>2</v>
      </c>
      <c r="H4" s="9" t="s">
        <v>3</v>
      </c>
      <c r="I4" s="9" t="s">
        <v>4</v>
      </c>
    </row>
    <row r="5" spans="1:26" ht="27.75" customHeight="1" x14ac:dyDescent="0.25">
      <c r="A5" s="1"/>
      <c r="B5" s="1"/>
      <c r="C5" s="10">
        <v>11</v>
      </c>
      <c r="D5" s="6">
        <v>0.79166666666666663</v>
      </c>
      <c r="E5" s="7" t="str">
        <f>IFERROR(INDEX(Tabela2[[Disciplina]:[Disciplina]],MATCH($C$3&amp;E$3&amp;$C5,Tabela2[[aux]:[aux]],0)),"-")</f>
        <v>MAT00BS</v>
      </c>
      <c r="F5" s="7" t="str">
        <f>IFERROR(INDEX(Tabela2[[Disciplina]:[Disciplina]],MATCH($C$3&amp;F$3&amp;$C5,Tabela2[[aux]:[aux]],0)),"-")</f>
        <v>XDES04S</v>
      </c>
      <c r="G5" s="7" t="str">
        <f>IFERROR(INDEX(Tabela2[[Disciplina]:[Disciplina]],MATCH($C$3&amp;G$3&amp;$C5,Tabela2[[aux]:[aux]],0)),"-")</f>
        <v>-</v>
      </c>
      <c r="H5" s="7" t="str">
        <f>IFERROR(INDEX(Tabela2[[Disciplina]:[Disciplina]],MATCH($C$3&amp;H$3&amp;$C5,Tabela2[[aux]:[aux]],0)),"-")</f>
        <v>IEPG04S</v>
      </c>
      <c r="I5" s="7" t="str">
        <f>IFERROR(INDEX(Tabela2[[Disciplina]:[Disciplina]],MATCH($C$3&amp;I$3&amp;$C5,Tabela2[[aux]:[aux]],0)),"-")</f>
        <v>XDES02S</v>
      </c>
    </row>
    <row r="6" spans="1:26" ht="27.75" customHeight="1" x14ac:dyDescent="0.25">
      <c r="A6" s="1"/>
      <c r="B6" s="1"/>
      <c r="C6" s="10">
        <v>12</v>
      </c>
      <c r="D6" s="3">
        <v>0.82638888888888884</v>
      </c>
      <c r="E6" s="7" t="str">
        <f>IFERROR(INDEX(Tabela2[[Disciplina]:[Disciplina]],MATCH($C$3&amp;E$3&amp;$C6,Tabela2[[aux]:[aux]],0)),"-")</f>
        <v>MAT00BS</v>
      </c>
      <c r="F6" s="7" t="str">
        <f>IFERROR(INDEX(Tabela2[[Disciplina]:[Disciplina]],MATCH($C$3&amp;F$3&amp;$C6,Tabela2[[aux]:[aux]],0)),"-")</f>
        <v>XDES04S</v>
      </c>
      <c r="G6" s="7" t="str">
        <f>IFERROR(INDEX(Tabela2[[Disciplina]:[Disciplina]],MATCH($C$3&amp;G$3&amp;$C6,Tabela2[[aux]:[aux]],0)),"-")</f>
        <v>XMAC01S</v>
      </c>
      <c r="H6" s="7" t="str">
        <f>IFERROR(INDEX(Tabela2[[Disciplina]:[Disciplina]],MATCH($C$3&amp;H$3&amp;$C6,Tabela2[[aux]:[aux]],0)),"-")</f>
        <v>STCO01S</v>
      </c>
      <c r="I6" s="7" t="str">
        <f>IFERROR(INDEX(Tabela2[[Disciplina]:[Disciplina]],MATCH($C$3&amp;I$3&amp;$C6,Tabela2[[aux]:[aux]],0)),"-")</f>
        <v>XDES02S</v>
      </c>
    </row>
    <row r="7" spans="1:26" ht="27.75" customHeight="1" x14ac:dyDescent="0.25">
      <c r="A7" s="1"/>
      <c r="B7" s="1"/>
      <c r="C7" s="10">
        <v>13</v>
      </c>
      <c r="D7" s="3">
        <v>0.875</v>
      </c>
      <c r="E7" s="7" t="str">
        <f>IFERROR(INDEX(Tabela2[[Disciplina]:[Disciplina]],MATCH($C$3&amp;E$3&amp;$C7,Tabela2[[aux]:[aux]],0)),"-")</f>
        <v>XDES02S</v>
      </c>
      <c r="F7" s="7" t="str">
        <f>IFERROR(INDEX(Tabela2[[Disciplina]:[Disciplina]],MATCH($C$3&amp;F$3&amp;$C7,Tabela2[[aux]:[aux]],0)),"-")</f>
        <v>XMAC01S</v>
      </c>
      <c r="G7" s="7" t="str">
        <f>IFERROR(INDEX(Tabela2[[Disciplina]:[Disciplina]],MATCH($C$3&amp;G$3&amp;$C7,Tabela2[[aux]:[aux]],0)),"-")</f>
        <v>XMAC01S</v>
      </c>
      <c r="H7" s="7" t="str">
        <f>IFERROR(INDEX(Tabela2[[Disciplina]:[Disciplina]],MATCH($C$3&amp;H$3&amp;$C7,Tabela2[[aux]:[aux]],0)),"-")</f>
        <v>STCO01S</v>
      </c>
      <c r="I7" s="7" t="str">
        <f>IFERROR(INDEX(Tabela2[[Disciplina]:[Disciplina]],MATCH($C$3&amp;I$3&amp;$C7,Tabela2[[aux]:[aux]],0)),"-")</f>
        <v>XMAC01S</v>
      </c>
    </row>
    <row r="8" spans="1:26" ht="27.75" customHeight="1" x14ac:dyDescent="0.25">
      <c r="A8" s="1"/>
      <c r="B8" s="1"/>
      <c r="C8" s="10">
        <v>14</v>
      </c>
      <c r="D8" s="3">
        <v>0.90972222222222221</v>
      </c>
      <c r="E8" s="7" t="str">
        <f>IFERROR(INDEX(Tabela2[[Disciplina]:[Disciplina]],MATCH($C$3&amp;E$3&amp;$C8,Tabela2[[aux]:[aux]],0)),"-")</f>
        <v>XDES02S</v>
      </c>
      <c r="F8" s="7" t="str">
        <f>IFERROR(INDEX(Tabela2[[Disciplina]:[Disciplina]],MATCH($C$3&amp;F$3&amp;$C8,Tabela2[[aux]:[aux]],0)),"-")</f>
        <v>-</v>
      </c>
      <c r="G8" s="7" t="str">
        <f>IFERROR(INDEX(Tabela2[[Disciplina]:[Disciplina]],MATCH($C$3&amp;G$3&amp;$C8,Tabela2[[aux]:[aux]],0)),"-")</f>
        <v>XDES04S</v>
      </c>
      <c r="H8" s="7" t="str">
        <f>IFERROR(INDEX(Tabela2[[Disciplina]:[Disciplina]],MATCH($C$3&amp;H$3&amp;$C8,Tabela2[[aux]:[aux]],0)),"-")</f>
        <v>MAT00BS</v>
      </c>
      <c r="I8" s="7" t="str">
        <f>IFERROR(INDEX(Tabela2[[Disciplina]:[Disciplina]],MATCH($C$3&amp;I$3&amp;$C8,Tabela2[[aux]:[aux]],0)),"-")</f>
        <v>STCO01S</v>
      </c>
    </row>
    <row r="9" spans="1:26" ht="27.75" customHeight="1" x14ac:dyDescent="0.25">
      <c r="A9" s="1"/>
      <c r="B9" s="1"/>
      <c r="C9" s="10">
        <v>15</v>
      </c>
      <c r="D9" s="3">
        <v>0.94444444444444442</v>
      </c>
      <c r="E9" s="7" t="str">
        <f>IFERROR(INDEX(Tabela2[[Disciplina]:[Disciplina]],MATCH($C$3&amp;E$3&amp;$C9,Tabela2[[aux]:[aux]],0)),"-")</f>
        <v>-</v>
      </c>
      <c r="F9" s="7" t="str">
        <f>IFERROR(INDEX(Tabela2[[Disciplina]:[Disciplina]],MATCH($C$3&amp;F$3&amp;$C9,Tabela2[[aux]:[aux]],0)),"-")</f>
        <v>-</v>
      </c>
      <c r="G9" s="7" t="str">
        <f>IFERROR(INDEX(Tabela2[[Disciplina]:[Disciplina]],MATCH($C$3&amp;G$3&amp;$C9,Tabela2[[aux]:[aux]],0)),"-")</f>
        <v>XDES04S</v>
      </c>
      <c r="H9" s="7" t="str">
        <f>IFERROR(INDEX(Tabela2[[Disciplina]:[Disciplina]],MATCH($C$3&amp;H$3&amp;$C9,Tabela2[[aux]:[aux]],0)),"-")</f>
        <v>MAT00BS</v>
      </c>
      <c r="I9" s="7" t="str">
        <f>IFERROR(INDEX(Tabela2[[Disciplina]:[Disciplina]],MATCH($C$3&amp;I$3&amp;$C9,Tabela2[[aux]:[aux]],0)),"-")</f>
        <v>STCO01S</v>
      </c>
    </row>
    <row r="10" spans="1:26" ht="9" customHeight="1" x14ac:dyDescent="0.25">
      <c r="A10" s="1"/>
      <c r="B10" s="1"/>
      <c r="C10" s="10"/>
    </row>
    <row r="11" spans="1:26" ht="27.75" customHeight="1" x14ac:dyDescent="0.25">
      <c r="A11" s="1"/>
      <c r="B11" s="1"/>
      <c r="C11" s="10"/>
    </row>
    <row r="12" spans="1:26" ht="27.75" customHeight="1" x14ac:dyDescent="0.25">
      <c r="A12" s="1"/>
      <c r="B12" s="1"/>
      <c r="C12" s="10"/>
    </row>
    <row r="13" spans="1:26" ht="27.75" customHeight="1" x14ac:dyDescent="0.25">
      <c r="A13" s="1"/>
      <c r="B13" s="1"/>
      <c r="C13" s="10"/>
    </row>
    <row r="14" spans="1:26" ht="27.75" customHeight="1" x14ac:dyDescent="0.25">
      <c r="A14" s="1"/>
      <c r="B14" s="1"/>
      <c r="C14" s="10"/>
    </row>
    <row r="15" spans="1:26" ht="27.75" customHeight="1" x14ac:dyDescent="0.25">
      <c r="A15" s="1"/>
      <c r="B15" s="1"/>
      <c r="C15" s="10"/>
    </row>
    <row r="16" spans="1:26" ht="27.75" customHeight="1" x14ac:dyDescent="0.25">
      <c r="A16" s="1"/>
      <c r="B16" s="1"/>
    </row>
    <row r="17" spans="1:2" ht="27.75" customHeight="1" x14ac:dyDescent="0.25">
      <c r="A17" s="1"/>
      <c r="B17" s="1"/>
    </row>
    <row r="18" spans="1:2" ht="27.75" customHeight="1" x14ac:dyDescent="0.25">
      <c r="A18" s="1"/>
      <c r="B18" s="1"/>
    </row>
    <row r="19" spans="1:2" ht="27.75" customHeight="1" x14ac:dyDescent="0.25">
      <c r="A19" s="1"/>
      <c r="B19" s="1"/>
    </row>
    <row r="20" spans="1:2" ht="27.75" customHeight="1" x14ac:dyDescent="0.25">
      <c r="A20" s="1"/>
      <c r="B20" s="1"/>
    </row>
    <row r="21" spans="1:2" ht="27.75" customHeight="1" x14ac:dyDescent="0.25">
      <c r="A21" s="1"/>
      <c r="B21" s="1"/>
    </row>
    <row r="22" spans="1:2" ht="27.75" customHeight="1" x14ac:dyDescent="0.25">
      <c r="A22" s="1"/>
      <c r="B22" s="1"/>
    </row>
    <row r="23" spans="1:2" ht="27.75" customHeight="1" x14ac:dyDescent="0.25">
      <c r="A23" s="1"/>
      <c r="B23" s="1"/>
    </row>
    <row r="24" spans="1:2" ht="27.75" customHeight="1" x14ac:dyDescent="0.25">
      <c r="A24" s="1"/>
      <c r="B24" s="1"/>
    </row>
    <row r="25" spans="1:2" ht="27.75" customHeight="1" x14ac:dyDescent="0.25">
      <c r="A25" s="1"/>
      <c r="B25" s="1"/>
    </row>
    <row r="26" spans="1:2" ht="27.75" customHeight="1" x14ac:dyDescent="0.25">
      <c r="A26" s="1"/>
      <c r="B26" s="1"/>
    </row>
    <row r="27" spans="1:2" ht="27.75" customHeight="1" x14ac:dyDescent="0.25">
      <c r="A27" s="1"/>
      <c r="B27" s="1"/>
    </row>
    <row r="28" spans="1:2" ht="27.75" customHeight="1" x14ac:dyDescent="0.25">
      <c r="A28" s="1"/>
      <c r="B28" s="1"/>
    </row>
    <row r="29" spans="1:2" ht="27.75" customHeight="1" x14ac:dyDescent="0.25">
      <c r="A29" s="1"/>
      <c r="B29" s="1"/>
    </row>
    <row r="30" spans="1:2" ht="27.75" customHeight="1" x14ac:dyDescent="0.25">
      <c r="A30" s="1"/>
      <c r="B30" s="1"/>
    </row>
    <row r="31" spans="1:2" ht="27.75" customHeight="1" x14ac:dyDescent="0.25">
      <c r="A31" s="1"/>
      <c r="B31" s="1"/>
    </row>
    <row r="32" spans="1:2" ht="27.75" customHeight="1" x14ac:dyDescent="0.25">
      <c r="A32" s="1"/>
      <c r="B32" s="1"/>
    </row>
    <row r="33" spans="1:2" ht="27.75" customHeight="1" x14ac:dyDescent="0.25">
      <c r="A33" s="1"/>
      <c r="B33" s="1"/>
    </row>
    <row r="34" spans="1:2" ht="27.75" customHeight="1" x14ac:dyDescent="0.25">
      <c r="A34" s="1"/>
      <c r="B34" s="1"/>
    </row>
    <row r="35" spans="1:2" ht="27.75" customHeight="1" x14ac:dyDescent="0.25">
      <c r="A35" s="1"/>
      <c r="B35" s="1"/>
    </row>
    <row r="36" spans="1:2" ht="27.75" customHeight="1" x14ac:dyDescent="0.25">
      <c r="A36" s="1"/>
      <c r="B36" s="1"/>
    </row>
    <row r="37" spans="1:2" ht="27.75" customHeight="1" x14ac:dyDescent="0.25">
      <c r="A37" s="1"/>
      <c r="B37" s="1"/>
    </row>
    <row r="38" spans="1:2" ht="27.75" customHeight="1" x14ac:dyDescent="0.25">
      <c r="A38" s="1"/>
      <c r="B38" s="1"/>
    </row>
    <row r="39" spans="1:2" ht="27.75" customHeight="1" x14ac:dyDescent="0.25">
      <c r="A39" s="1"/>
      <c r="B39" s="1"/>
    </row>
    <row r="40" spans="1:2" ht="27.75" customHeight="1" x14ac:dyDescent="0.25">
      <c r="A40" s="1"/>
      <c r="B40" s="1"/>
    </row>
    <row r="41" spans="1:2" ht="27.75" customHeight="1" x14ac:dyDescent="0.25">
      <c r="A41" s="1"/>
      <c r="B41" s="1"/>
    </row>
    <row r="42" spans="1:2" ht="27.75" customHeight="1" x14ac:dyDescent="0.25">
      <c r="A42" s="1"/>
      <c r="B42" s="1"/>
    </row>
    <row r="43" spans="1:2" ht="27.75" customHeight="1" x14ac:dyDescent="0.25">
      <c r="A43" s="1"/>
      <c r="B43" s="1"/>
    </row>
    <row r="44" spans="1:2" ht="27.75" customHeight="1" x14ac:dyDescent="0.25">
      <c r="A44" s="1"/>
      <c r="B44" s="1"/>
    </row>
    <row r="45" spans="1:2" ht="27.75" customHeight="1" x14ac:dyDescent="0.25">
      <c r="A45" s="1"/>
      <c r="B45" s="1"/>
    </row>
    <row r="46" spans="1:2" ht="27.75" customHeight="1" x14ac:dyDescent="0.25">
      <c r="A46" s="1"/>
      <c r="B46" s="1"/>
    </row>
    <row r="47" spans="1:2" ht="27.75" customHeight="1" x14ac:dyDescent="0.25">
      <c r="A47" s="1"/>
      <c r="B47" s="1"/>
    </row>
    <row r="48" spans="1:2" ht="27.75" customHeight="1" x14ac:dyDescent="0.25">
      <c r="A48" s="1"/>
      <c r="B48" s="1"/>
    </row>
    <row r="49" spans="1:2" ht="27.75" customHeight="1" x14ac:dyDescent="0.25">
      <c r="A49" s="1"/>
      <c r="B49" s="1"/>
    </row>
    <row r="50" spans="1:2" ht="27.75" customHeight="1" x14ac:dyDescent="0.25">
      <c r="A50" s="1"/>
      <c r="B50" s="1"/>
    </row>
    <row r="51" spans="1:2" ht="27.75" customHeight="1" x14ac:dyDescent="0.25">
      <c r="A51" s="1"/>
      <c r="B51" s="1"/>
    </row>
    <row r="52" spans="1:2" ht="27.75" customHeight="1" x14ac:dyDescent="0.25">
      <c r="A52" s="1"/>
      <c r="B52" s="1"/>
    </row>
    <row r="53" spans="1:2" ht="27.75" customHeight="1" x14ac:dyDescent="0.25">
      <c r="A53" s="1"/>
      <c r="B53" s="1"/>
    </row>
    <row r="54" spans="1:2" ht="27.75" customHeight="1" x14ac:dyDescent="0.25">
      <c r="A54" s="1"/>
      <c r="B54" s="1"/>
    </row>
    <row r="55" spans="1:2" ht="27.75" customHeight="1" x14ac:dyDescent="0.25">
      <c r="A55" s="1"/>
      <c r="B55" s="1"/>
    </row>
    <row r="56" spans="1:2" ht="27.75" customHeight="1" x14ac:dyDescent="0.25">
      <c r="A56" s="1"/>
      <c r="B56" s="1"/>
    </row>
    <row r="57" spans="1:2" ht="27.75" customHeight="1" x14ac:dyDescent="0.25">
      <c r="A57" s="1"/>
      <c r="B57" s="1"/>
    </row>
    <row r="58" spans="1:2" ht="27.75" customHeight="1" x14ac:dyDescent="0.25">
      <c r="A58" s="1"/>
      <c r="B58" s="1"/>
    </row>
    <row r="59" spans="1:2" ht="27.75" customHeight="1" x14ac:dyDescent="0.25">
      <c r="A59" s="1"/>
      <c r="B59" s="1"/>
    </row>
    <row r="60" spans="1:2" ht="27.75" customHeight="1" x14ac:dyDescent="0.25">
      <c r="A60" s="1"/>
      <c r="B60" s="1"/>
    </row>
    <row r="61" spans="1:2" ht="27.75" customHeight="1" x14ac:dyDescent="0.25">
      <c r="A61" s="1"/>
      <c r="B61" s="1"/>
    </row>
    <row r="62" spans="1:2" ht="27.75" customHeight="1" x14ac:dyDescent="0.25">
      <c r="A62" s="1"/>
      <c r="B62" s="1"/>
    </row>
    <row r="63" spans="1:2" ht="27.75" customHeight="1" x14ac:dyDescent="0.25">
      <c r="A63" s="1"/>
      <c r="B63" s="1"/>
    </row>
    <row r="64" spans="1:2" ht="27.75" customHeight="1" x14ac:dyDescent="0.25">
      <c r="A64" s="1"/>
      <c r="B64" s="1"/>
    </row>
    <row r="65" spans="1:2" ht="27.75" customHeight="1" x14ac:dyDescent="0.25">
      <c r="A65" s="1"/>
      <c r="B65" s="1"/>
    </row>
    <row r="66" spans="1:2" ht="27.75" customHeight="1" x14ac:dyDescent="0.25">
      <c r="A66" s="1"/>
      <c r="B66" s="1"/>
    </row>
    <row r="67" spans="1:2" ht="27.75" customHeight="1" x14ac:dyDescent="0.25">
      <c r="A67" s="1"/>
      <c r="B67" s="1"/>
    </row>
    <row r="68" spans="1:2" ht="27.75" customHeight="1" x14ac:dyDescent="0.25">
      <c r="A68" s="1"/>
      <c r="B68" s="1"/>
    </row>
    <row r="69" spans="1:2" ht="27.75" customHeight="1" x14ac:dyDescent="0.25">
      <c r="A69" s="1"/>
      <c r="B69" s="1"/>
    </row>
    <row r="70" spans="1:2" ht="27.75" customHeight="1" x14ac:dyDescent="0.25">
      <c r="A70" s="1"/>
      <c r="B70" s="1"/>
    </row>
    <row r="71" spans="1:2" ht="27.75" customHeight="1" x14ac:dyDescent="0.25">
      <c r="A71" s="1"/>
      <c r="B71" s="1"/>
    </row>
    <row r="72" spans="1:2" ht="27.75" customHeight="1" x14ac:dyDescent="0.25">
      <c r="A72" s="1"/>
      <c r="B72" s="1"/>
    </row>
    <row r="73" spans="1:2" ht="27.75" customHeight="1" x14ac:dyDescent="0.25">
      <c r="A73" s="1"/>
      <c r="B73" s="1"/>
    </row>
    <row r="74" spans="1:2" ht="27.75" customHeight="1" x14ac:dyDescent="0.25">
      <c r="A74" s="1"/>
      <c r="B74" s="1"/>
    </row>
    <row r="75" spans="1:2" ht="27.75" customHeight="1" x14ac:dyDescent="0.25">
      <c r="A75" s="1"/>
      <c r="B75" s="1"/>
    </row>
    <row r="76" spans="1:2" ht="27.75" customHeight="1" x14ac:dyDescent="0.25">
      <c r="A76" s="1"/>
      <c r="B76" s="1"/>
    </row>
    <row r="77" spans="1:2" ht="27.75" customHeight="1" x14ac:dyDescent="0.25">
      <c r="A77" s="1"/>
      <c r="B77" s="1"/>
    </row>
    <row r="78" spans="1:2" ht="27.75" customHeight="1" x14ac:dyDescent="0.25">
      <c r="A78" s="1"/>
      <c r="B78" s="1"/>
    </row>
    <row r="79" spans="1:2" ht="27.75" customHeight="1" x14ac:dyDescent="0.25">
      <c r="A79" s="1"/>
      <c r="B79" s="1"/>
    </row>
    <row r="80" spans="1:2" ht="27.75" customHeight="1" x14ac:dyDescent="0.25">
      <c r="A80" s="1"/>
      <c r="B80" s="1"/>
    </row>
    <row r="81" spans="1:2" ht="27.75" customHeight="1" x14ac:dyDescent="0.25">
      <c r="A81" s="1"/>
      <c r="B81" s="1"/>
    </row>
    <row r="82" spans="1:2" ht="27.75" customHeight="1" x14ac:dyDescent="0.25">
      <c r="A82" s="1"/>
      <c r="B82" s="1"/>
    </row>
    <row r="83" spans="1:2" ht="27.75" customHeight="1" x14ac:dyDescent="0.25">
      <c r="A83" s="1"/>
      <c r="B83" s="1"/>
    </row>
    <row r="84" spans="1:2" ht="27.75" customHeight="1" x14ac:dyDescent="0.25">
      <c r="A84" s="1"/>
      <c r="B84" s="1"/>
    </row>
    <row r="85" spans="1:2" ht="27.75" customHeight="1" x14ac:dyDescent="0.25">
      <c r="A85" s="1"/>
      <c r="B85" s="1"/>
    </row>
    <row r="86" spans="1:2" ht="27.75" customHeight="1" x14ac:dyDescent="0.25">
      <c r="A86" s="1"/>
      <c r="B86" s="1"/>
    </row>
    <row r="87" spans="1:2" ht="27.75" customHeight="1" x14ac:dyDescent="0.25">
      <c r="A87" s="1"/>
      <c r="B87" s="1"/>
    </row>
    <row r="88" spans="1:2" ht="27.75" customHeight="1" x14ac:dyDescent="0.25">
      <c r="A88" s="1"/>
      <c r="B88" s="1"/>
    </row>
    <row r="89" spans="1:2" ht="27.75" customHeight="1" x14ac:dyDescent="0.25">
      <c r="A89" s="1"/>
      <c r="B89" s="1"/>
    </row>
    <row r="90" spans="1:2" ht="27.75" customHeight="1" x14ac:dyDescent="0.25">
      <c r="A90" s="1"/>
      <c r="B90" s="1"/>
    </row>
    <row r="91" spans="1:2" ht="27.75" customHeight="1" x14ac:dyDescent="0.25">
      <c r="A91" s="1"/>
      <c r="B91" s="1"/>
    </row>
    <row r="92" spans="1:2" ht="27.75" customHeight="1" x14ac:dyDescent="0.25">
      <c r="A92" s="1"/>
      <c r="B92" s="1"/>
    </row>
    <row r="93" spans="1:2" ht="27.75" customHeight="1" x14ac:dyDescent="0.25">
      <c r="A93" s="1"/>
      <c r="B93" s="1"/>
    </row>
    <row r="94" spans="1:2" ht="27.75" customHeight="1" x14ac:dyDescent="0.25">
      <c r="A94" s="1"/>
      <c r="B94" s="1"/>
    </row>
    <row r="95" spans="1:2" ht="27.75" customHeight="1" x14ac:dyDescent="0.25">
      <c r="A95" s="1"/>
      <c r="B95" s="1"/>
    </row>
    <row r="96" spans="1:2" ht="27.75" customHeight="1" x14ac:dyDescent="0.25">
      <c r="A96" s="1"/>
      <c r="B96" s="1"/>
    </row>
    <row r="97" spans="1:2" ht="27.75" customHeight="1" x14ac:dyDescent="0.25">
      <c r="A97" s="1"/>
      <c r="B97" s="1"/>
    </row>
    <row r="98" spans="1:2" ht="27.75" customHeight="1" x14ac:dyDescent="0.25">
      <c r="A98" s="1"/>
      <c r="B98" s="1"/>
    </row>
    <row r="99" spans="1:2" ht="27.75" customHeight="1" x14ac:dyDescent="0.25">
      <c r="A99" s="1"/>
      <c r="B99" s="1"/>
    </row>
    <row r="100" spans="1:2" ht="27.75" customHeight="1" x14ac:dyDescent="0.25">
      <c r="A100" s="1"/>
      <c r="B100" s="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0288D-C388-493C-A49F-7B82208857B3}">
  <sheetPr codeName="Planilha11"/>
  <dimension ref="A1:Z100"/>
  <sheetViews>
    <sheetView showGridLines="0" showRowColHeaders="0" workbookViewId="0"/>
  </sheetViews>
  <sheetFormatPr defaultColWidth="14.85546875" defaultRowHeight="27.75" customHeight="1" x14ac:dyDescent="0.25"/>
  <cols>
    <col min="1" max="2" width="14.85546875" style="2"/>
    <col min="3" max="10" width="21.28515625" style="2" customWidth="1"/>
    <col min="11" max="16384" width="14.85546875" style="2"/>
  </cols>
  <sheetData>
    <row r="1" spans="1:26" ht="32.2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27.75" customHeight="1" x14ac:dyDescent="0.25">
      <c r="A2" s="1"/>
      <c r="B2" s="1"/>
    </row>
    <row r="3" spans="1:26" ht="27.75" customHeight="1" x14ac:dyDescent="0.25">
      <c r="A3" s="1"/>
      <c r="B3" s="1"/>
      <c r="C3" s="10" t="s">
        <v>19</v>
      </c>
      <c r="E3" s="10">
        <v>1</v>
      </c>
      <c r="F3" s="10">
        <v>2</v>
      </c>
      <c r="G3" s="10">
        <v>3</v>
      </c>
      <c r="H3" s="10">
        <v>4</v>
      </c>
      <c r="I3" s="10">
        <v>5</v>
      </c>
    </row>
    <row r="4" spans="1:26" ht="27.75" customHeight="1" x14ac:dyDescent="0.25">
      <c r="A4" s="1"/>
      <c r="B4" s="1"/>
      <c r="D4" s="8"/>
      <c r="E4" s="9" t="s">
        <v>0</v>
      </c>
      <c r="F4" s="9" t="s">
        <v>1</v>
      </c>
      <c r="G4" s="9" t="s">
        <v>2</v>
      </c>
      <c r="H4" s="9" t="s">
        <v>3</v>
      </c>
      <c r="I4" s="9" t="s">
        <v>4</v>
      </c>
    </row>
    <row r="5" spans="1:26" ht="27.75" customHeight="1" x14ac:dyDescent="0.25">
      <c r="A5" s="1"/>
      <c r="B5" s="1"/>
      <c r="C5" s="10">
        <v>11</v>
      </c>
      <c r="D5" s="6">
        <v>0.79166666666666663</v>
      </c>
      <c r="E5" s="7" t="str">
        <f>IFERROR(INDEX(Tabela2[[Disciplina]:[Disciplina]],MATCH($C$3&amp;E$3&amp;$C5,Tabela2[[aux]:[aux]],0)),"-")</f>
        <v>IEPG20S</v>
      </c>
      <c r="F5" s="7" t="str">
        <f>IFERROR(INDEX(Tabela2[[Disciplina]:[Disciplina]],MATCH($C$3&amp;F$3&amp;$C5,Tabela2[[aux]:[aux]],0)),"-")</f>
        <v>SRSC03S</v>
      </c>
      <c r="G5" s="7" t="str">
        <f>IFERROR(INDEX(Tabela2[[Disciplina]:[Disciplina]],MATCH($C$3&amp;G$3&amp;$C5,Tabela2[[aux]:[aux]],0)),"-")</f>
        <v>IEPG20S</v>
      </c>
      <c r="H5" s="7" t="str">
        <f>IFERROR(INDEX(Tabela2[[Disciplina]:[Disciplina]],MATCH($C$3&amp;H$3&amp;$C5,Tabela2[[aux]:[aux]],0)),"-")</f>
        <v>STCO02S</v>
      </c>
      <c r="I5" s="7" t="str">
        <f>IFERROR(INDEX(Tabela2[[Disciplina]:[Disciplina]],MATCH($C$3&amp;I$3&amp;$C5,Tabela2[[aux]:[aux]],0)),"-")</f>
        <v>-</v>
      </c>
    </row>
    <row r="6" spans="1:26" ht="27.75" customHeight="1" x14ac:dyDescent="0.25">
      <c r="A6" s="1"/>
      <c r="B6" s="1"/>
      <c r="C6" s="10">
        <v>12</v>
      </c>
      <c r="D6" s="3">
        <v>0.82638888888888884</v>
      </c>
      <c r="E6" s="7" t="str">
        <f>IFERROR(INDEX(Tabela2[[Disciplina]:[Disciplina]],MATCH($C$3&amp;E$3&amp;$C6,Tabela2[[aux]:[aux]],0)),"-")</f>
        <v>SDES05S</v>
      </c>
      <c r="F6" s="7" t="str">
        <f>IFERROR(INDEX(Tabela2[[Disciplina]:[Disciplina]],MATCH($C$3&amp;F$3&amp;$C6,Tabela2[[aux]:[aux]],0)),"-")</f>
        <v>SRSC03S</v>
      </c>
      <c r="G6" s="7" t="str">
        <f>IFERROR(INDEX(Tabela2[[Disciplina]:[Disciplina]],MATCH($C$3&amp;G$3&amp;$C6,Tabela2[[aux]:[aux]],0)),"-")</f>
        <v>IEPG20S</v>
      </c>
      <c r="H6" s="7" t="str">
        <f>IFERROR(INDEX(Tabela2[[Disciplina]:[Disciplina]],MATCH($C$3&amp;H$3&amp;$C6,Tabela2[[aux]:[aux]],0)),"-")</f>
        <v>STCO02S</v>
      </c>
      <c r="I6" s="7" t="str">
        <f>IFERROR(INDEX(Tabela2[[Disciplina]:[Disciplina]],MATCH($C$3&amp;I$3&amp;$C6,Tabela2[[aux]:[aux]],0)),"-")</f>
        <v>-</v>
      </c>
    </row>
    <row r="7" spans="1:26" ht="27.75" customHeight="1" x14ac:dyDescent="0.25">
      <c r="A7" s="1"/>
      <c r="B7" s="1"/>
      <c r="C7" s="10">
        <v>13</v>
      </c>
      <c r="D7" s="3">
        <v>0.875</v>
      </c>
      <c r="E7" s="7" t="str">
        <f>IFERROR(INDEX(Tabela2[[Disciplina]:[Disciplina]],MATCH($C$3&amp;E$3&amp;$C7,Tabela2[[aux]:[aux]],0)),"-")</f>
        <v>SDES05S</v>
      </c>
      <c r="F7" s="7" t="str">
        <f>IFERROR(INDEX(Tabela2[[Disciplina]:[Disciplina]],MATCH($C$3&amp;F$3&amp;$C7,Tabela2[[aux]:[aux]],0)),"-")</f>
        <v>-</v>
      </c>
      <c r="G7" s="7" t="str">
        <f>IFERROR(INDEX(Tabela2[[Disciplina]:[Disciplina]],MATCH($C$3&amp;G$3&amp;$C7,Tabela2[[aux]:[aux]],0)),"-")</f>
        <v>-</v>
      </c>
      <c r="H7" s="7" t="str">
        <f>IFERROR(INDEX(Tabela2[[Disciplina]:[Disciplina]],MATCH($C$3&amp;H$3&amp;$C7,Tabela2[[aux]:[aux]],0)),"-")</f>
        <v>-</v>
      </c>
      <c r="I7" s="7" t="str">
        <f>IFERROR(INDEX(Tabela2[[Disciplina]:[Disciplina]],MATCH($C$3&amp;I$3&amp;$C7,Tabela2[[aux]:[aux]],0)),"-")</f>
        <v>-</v>
      </c>
    </row>
    <row r="8" spans="1:26" ht="27.75" customHeight="1" x14ac:dyDescent="0.25">
      <c r="A8" s="1"/>
      <c r="B8" s="1"/>
      <c r="C8" s="10">
        <v>14</v>
      </c>
      <c r="D8" s="3">
        <v>0.90972222222222221</v>
      </c>
      <c r="E8" s="7" t="str">
        <f>IFERROR(INDEX(Tabela2[[Disciplina]:[Disciplina]],MATCH($C$3&amp;E$3&amp;$C8,Tabela2[[aux]:[aux]],0)),"-")</f>
        <v>SRSC03S</v>
      </c>
      <c r="F8" s="7" t="str">
        <f>IFERROR(INDEX(Tabela2[[Disciplina]:[Disciplina]],MATCH($C$3&amp;F$3&amp;$C8,Tabela2[[aux]:[aux]],0)),"-")</f>
        <v>XDES03S</v>
      </c>
      <c r="G8" s="7" t="str">
        <f>IFERROR(INDEX(Tabela2[[Disciplina]:[Disciplina]],MATCH($C$3&amp;G$3&amp;$C8,Tabela2[[aux]:[aux]],0)),"-")</f>
        <v>XDES03S</v>
      </c>
      <c r="H8" s="7" t="str">
        <f>IFERROR(INDEX(Tabela2[[Disciplina]:[Disciplina]],MATCH($C$3&amp;H$3&amp;$C8,Tabela2[[aux]:[aux]],0)),"-")</f>
        <v>SDES05S</v>
      </c>
      <c r="I8" s="7" t="str">
        <f>IFERROR(INDEX(Tabela2[[Disciplina]:[Disciplina]],MATCH($C$3&amp;I$3&amp;$C8,Tabela2[[aux]:[aux]],0)),"-")</f>
        <v>STCO02S</v>
      </c>
    </row>
    <row r="9" spans="1:26" ht="27.75" customHeight="1" x14ac:dyDescent="0.25">
      <c r="A9" s="1"/>
      <c r="B9" s="1"/>
      <c r="C9" s="10">
        <v>15</v>
      </c>
      <c r="D9" s="3">
        <v>0.94444444444444442</v>
      </c>
      <c r="E9" s="7" t="str">
        <f>IFERROR(INDEX(Tabela2[[Disciplina]:[Disciplina]],MATCH($C$3&amp;E$3&amp;$C9,Tabela2[[aux]:[aux]],0)),"-")</f>
        <v>SRSC03S</v>
      </c>
      <c r="F9" s="7" t="str">
        <f>IFERROR(INDEX(Tabela2[[Disciplina]:[Disciplina]],MATCH($C$3&amp;F$3&amp;$C9,Tabela2[[aux]:[aux]],0)),"-")</f>
        <v>XDES03S</v>
      </c>
      <c r="G9" s="7" t="str">
        <f>IFERROR(INDEX(Tabela2[[Disciplina]:[Disciplina]],MATCH($C$3&amp;G$3&amp;$C9,Tabela2[[aux]:[aux]],0)),"-")</f>
        <v>XDES03S</v>
      </c>
      <c r="H9" s="7" t="str">
        <f>IFERROR(INDEX(Tabela2[[Disciplina]:[Disciplina]],MATCH($C$3&amp;H$3&amp;$C9,Tabela2[[aux]:[aux]],0)),"-")</f>
        <v>SDES05S</v>
      </c>
      <c r="I9" s="7" t="str">
        <f>IFERROR(INDEX(Tabela2[[Disciplina]:[Disciplina]],MATCH($C$3&amp;I$3&amp;$C9,Tabela2[[aux]:[aux]],0)),"-")</f>
        <v>STCO02S</v>
      </c>
    </row>
    <row r="10" spans="1:26" ht="9" customHeight="1" x14ac:dyDescent="0.25">
      <c r="A10" s="1"/>
      <c r="B10" s="1"/>
      <c r="C10" s="10"/>
    </row>
    <row r="11" spans="1:26" ht="27.75" customHeight="1" x14ac:dyDescent="0.25">
      <c r="A11" s="1"/>
      <c r="B11" s="1"/>
      <c r="C11" s="10"/>
    </row>
    <row r="12" spans="1:26" ht="27.75" customHeight="1" x14ac:dyDescent="0.25">
      <c r="A12" s="1"/>
      <c r="B12" s="1"/>
      <c r="C12" s="10"/>
    </row>
    <row r="13" spans="1:26" ht="27.75" customHeight="1" x14ac:dyDescent="0.25">
      <c r="A13" s="1"/>
      <c r="B13" s="1"/>
      <c r="C13" s="10"/>
    </row>
    <row r="14" spans="1:26" ht="27.75" customHeight="1" x14ac:dyDescent="0.25">
      <c r="A14" s="1"/>
      <c r="B14" s="1"/>
      <c r="C14" s="10"/>
    </row>
    <row r="15" spans="1:26" ht="27.75" customHeight="1" x14ac:dyDescent="0.25">
      <c r="A15" s="1"/>
      <c r="B15" s="1"/>
      <c r="C15" s="10"/>
    </row>
    <row r="16" spans="1:26" ht="27.75" customHeight="1" x14ac:dyDescent="0.25">
      <c r="A16" s="1"/>
      <c r="B16" s="1"/>
    </row>
    <row r="17" spans="1:2" ht="27.75" customHeight="1" x14ac:dyDescent="0.25">
      <c r="A17" s="1"/>
      <c r="B17" s="1"/>
    </row>
    <row r="18" spans="1:2" ht="27.75" customHeight="1" x14ac:dyDescent="0.25">
      <c r="A18" s="1"/>
      <c r="B18" s="1"/>
    </row>
    <row r="19" spans="1:2" ht="27.75" customHeight="1" x14ac:dyDescent="0.25">
      <c r="A19" s="1"/>
      <c r="B19" s="1"/>
    </row>
    <row r="20" spans="1:2" ht="27.75" customHeight="1" x14ac:dyDescent="0.25">
      <c r="A20" s="1"/>
      <c r="B20" s="1"/>
    </row>
    <row r="21" spans="1:2" ht="27.75" customHeight="1" x14ac:dyDescent="0.25">
      <c r="A21" s="1"/>
      <c r="B21" s="1"/>
    </row>
    <row r="22" spans="1:2" ht="27.75" customHeight="1" x14ac:dyDescent="0.25">
      <c r="A22" s="1"/>
      <c r="B22" s="1"/>
    </row>
    <row r="23" spans="1:2" ht="27.75" customHeight="1" x14ac:dyDescent="0.25">
      <c r="A23" s="1"/>
      <c r="B23" s="1"/>
    </row>
    <row r="24" spans="1:2" ht="27.75" customHeight="1" x14ac:dyDescent="0.25">
      <c r="A24" s="1"/>
      <c r="B24" s="1"/>
    </row>
    <row r="25" spans="1:2" ht="27.75" customHeight="1" x14ac:dyDescent="0.25">
      <c r="A25" s="1"/>
      <c r="B25" s="1"/>
    </row>
    <row r="26" spans="1:2" ht="27.75" customHeight="1" x14ac:dyDescent="0.25">
      <c r="A26" s="1"/>
      <c r="B26" s="1"/>
    </row>
    <row r="27" spans="1:2" ht="27.75" customHeight="1" x14ac:dyDescent="0.25">
      <c r="A27" s="1"/>
      <c r="B27" s="1"/>
    </row>
    <row r="28" spans="1:2" ht="27.75" customHeight="1" x14ac:dyDescent="0.25">
      <c r="A28" s="1"/>
      <c r="B28" s="1"/>
    </row>
    <row r="29" spans="1:2" ht="27.75" customHeight="1" x14ac:dyDescent="0.25">
      <c r="A29" s="1"/>
      <c r="B29" s="1"/>
    </row>
    <row r="30" spans="1:2" ht="27.75" customHeight="1" x14ac:dyDescent="0.25">
      <c r="A30" s="1"/>
      <c r="B30" s="1"/>
    </row>
    <row r="31" spans="1:2" ht="27.75" customHeight="1" x14ac:dyDescent="0.25">
      <c r="A31" s="1"/>
      <c r="B31" s="1"/>
    </row>
    <row r="32" spans="1:2" ht="27.75" customHeight="1" x14ac:dyDescent="0.25">
      <c r="A32" s="1"/>
      <c r="B32" s="1"/>
    </row>
    <row r="33" spans="1:2" ht="27.75" customHeight="1" x14ac:dyDescent="0.25">
      <c r="A33" s="1"/>
      <c r="B33" s="1"/>
    </row>
    <row r="34" spans="1:2" ht="27.75" customHeight="1" x14ac:dyDescent="0.25">
      <c r="A34" s="1"/>
      <c r="B34" s="1"/>
    </row>
    <row r="35" spans="1:2" ht="27.75" customHeight="1" x14ac:dyDescent="0.25">
      <c r="A35" s="1"/>
      <c r="B35" s="1"/>
    </row>
    <row r="36" spans="1:2" ht="27.75" customHeight="1" x14ac:dyDescent="0.25">
      <c r="A36" s="1"/>
      <c r="B36" s="1"/>
    </row>
    <row r="37" spans="1:2" ht="27.75" customHeight="1" x14ac:dyDescent="0.25">
      <c r="A37" s="1"/>
      <c r="B37" s="1"/>
    </row>
    <row r="38" spans="1:2" ht="27.75" customHeight="1" x14ac:dyDescent="0.25">
      <c r="A38" s="1"/>
      <c r="B38" s="1"/>
    </row>
    <row r="39" spans="1:2" ht="27.75" customHeight="1" x14ac:dyDescent="0.25">
      <c r="A39" s="1"/>
      <c r="B39" s="1"/>
    </row>
    <row r="40" spans="1:2" ht="27.75" customHeight="1" x14ac:dyDescent="0.25">
      <c r="A40" s="1"/>
      <c r="B40" s="1"/>
    </row>
    <row r="41" spans="1:2" ht="27.75" customHeight="1" x14ac:dyDescent="0.25">
      <c r="A41" s="1"/>
      <c r="B41" s="1"/>
    </row>
    <row r="42" spans="1:2" ht="27.75" customHeight="1" x14ac:dyDescent="0.25">
      <c r="A42" s="1"/>
      <c r="B42" s="1"/>
    </row>
    <row r="43" spans="1:2" ht="27.75" customHeight="1" x14ac:dyDescent="0.25">
      <c r="A43" s="1"/>
      <c r="B43" s="1"/>
    </row>
    <row r="44" spans="1:2" ht="27.75" customHeight="1" x14ac:dyDescent="0.25">
      <c r="A44" s="1"/>
      <c r="B44" s="1"/>
    </row>
    <row r="45" spans="1:2" ht="27.75" customHeight="1" x14ac:dyDescent="0.25">
      <c r="A45" s="1"/>
      <c r="B45" s="1"/>
    </row>
    <row r="46" spans="1:2" ht="27.75" customHeight="1" x14ac:dyDescent="0.25">
      <c r="A46" s="1"/>
      <c r="B46" s="1"/>
    </row>
    <row r="47" spans="1:2" ht="27.75" customHeight="1" x14ac:dyDescent="0.25">
      <c r="A47" s="1"/>
      <c r="B47" s="1"/>
    </row>
    <row r="48" spans="1:2" ht="27.75" customHeight="1" x14ac:dyDescent="0.25">
      <c r="A48" s="1"/>
      <c r="B48" s="1"/>
    </row>
    <row r="49" spans="1:2" ht="27.75" customHeight="1" x14ac:dyDescent="0.25">
      <c r="A49" s="1"/>
      <c r="B49" s="1"/>
    </row>
    <row r="50" spans="1:2" ht="27.75" customHeight="1" x14ac:dyDescent="0.25">
      <c r="A50" s="1"/>
      <c r="B50" s="1"/>
    </row>
    <row r="51" spans="1:2" ht="27.75" customHeight="1" x14ac:dyDescent="0.25">
      <c r="A51" s="1"/>
      <c r="B51" s="1"/>
    </row>
    <row r="52" spans="1:2" ht="27.75" customHeight="1" x14ac:dyDescent="0.25">
      <c r="A52" s="1"/>
      <c r="B52" s="1"/>
    </row>
    <row r="53" spans="1:2" ht="27.75" customHeight="1" x14ac:dyDescent="0.25">
      <c r="A53" s="1"/>
      <c r="B53" s="1"/>
    </row>
    <row r="54" spans="1:2" ht="27.75" customHeight="1" x14ac:dyDescent="0.25">
      <c r="A54" s="1"/>
      <c r="B54" s="1"/>
    </row>
    <row r="55" spans="1:2" ht="27.75" customHeight="1" x14ac:dyDescent="0.25">
      <c r="A55" s="1"/>
      <c r="B55" s="1"/>
    </row>
    <row r="56" spans="1:2" ht="27.75" customHeight="1" x14ac:dyDescent="0.25">
      <c r="A56" s="1"/>
      <c r="B56" s="1"/>
    </row>
    <row r="57" spans="1:2" ht="27.75" customHeight="1" x14ac:dyDescent="0.25">
      <c r="A57" s="1"/>
      <c r="B57" s="1"/>
    </row>
    <row r="58" spans="1:2" ht="27.75" customHeight="1" x14ac:dyDescent="0.25">
      <c r="A58" s="1"/>
      <c r="B58" s="1"/>
    </row>
    <row r="59" spans="1:2" ht="27.75" customHeight="1" x14ac:dyDescent="0.25">
      <c r="A59" s="1"/>
      <c r="B59" s="1"/>
    </row>
    <row r="60" spans="1:2" ht="27.75" customHeight="1" x14ac:dyDescent="0.25">
      <c r="A60" s="1"/>
      <c r="B60" s="1"/>
    </row>
    <row r="61" spans="1:2" ht="27.75" customHeight="1" x14ac:dyDescent="0.25">
      <c r="A61" s="1"/>
      <c r="B61" s="1"/>
    </row>
    <row r="62" spans="1:2" ht="27.75" customHeight="1" x14ac:dyDescent="0.25">
      <c r="A62" s="1"/>
      <c r="B62" s="1"/>
    </row>
    <row r="63" spans="1:2" ht="27.75" customHeight="1" x14ac:dyDescent="0.25">
      <c r="A63" s="1"/>
      <c r="B63" s="1"/>
    </row>
    <row r="64" spans="1:2" ht="27.75" customHeight="1" x14ac:dyDescent="0.25">
      <c r="A64" s="1"/>
      <c r="B64" s="1"/>
    </row>
    <row r="65" spans="1:2" ht="27.75" customHeight="1" x14ac:dyDescent="0.25">
      <c r="A65" s="1"/>
      <c r="B65" s="1"/>
    </row>
    <row r="66" spans="1:2" ht="27.75" customHeight="1" x14ac:dyDescent="0.25">
      <c r="A66" s="1"/>
      <c r="B66" s="1"/>
    </row>
    <row r="67" spans="1:2" ht="27.75" customHeight="1" x14ac:dyDescent="0.25">
      <c r="A67" s="1"/>
      <c r="B67" s="1"/>
    </row>
    <row r="68" spans="1:2" ht="27.75" customHeight="1" x14ac:dyDescent="0.25">
      <c r="A68" s="1"/>
      <c r="B68" s="1"/>
    </row>
    <row r="69" spans="1:2" ht="27.75" customHeight="1" x14ac:dyDescent="0.25">
      <c r="A69" s="1"/>
      <c r="B69" s="1"/>
    </row>
    <row r="70" spans="1:2" ht="27.75" customHeight="1" x14ac:dyDescent="0.25">
      <c r="A70" s="1"/>
      <c r="B70" s="1"/>
    </row>
    <row r="71" spans="1:2" ht="27.75" customHeight="1" x14ac:dyDescent="0.25">
      <c r="A71" s="1"/>
      <c r="B71" s="1"/>
    </row>
    <row r="72" spans="1:2" ht="27.75" customHeight="1" x14ac:dyDescent="0.25">
      <c r="A72" s="1"/>
      <c r="B72" s="1"/>
    </row>
    <row r="73" spans="1:2" ht="27.75" customHeight="1" x14ac:dyDescent="0.25">
      <c r="A73" s="1"/>
      <c r="B73" s="1"/>
    </row>
    <row r="74" spans="1:2" ht="27.75" customHeight="1" x14ac:dyDescent="0.25">
      <c r="A74" s="1"/>
      <c r="B74" s="1"/>
    </row>
    <row r="75" spans="1:2" ht="27.75" customHeight="1" x14ac:dyDescent="0.25">
      <c r="A75" s="1"/>
      <c r="B75" s="1"/>
    </row>
    <row r="76" spans="1:2" ht="27.75" customHeight="1" x14ac:dyDescent="0.25">
      <c r="A76" s="1"/>
      <c r="B76" s="1"/>
    </row>
    <row r="77" spans="1:2" ht="27.75" customHeight="1" x14ac:dyDescent="0.25">
      <c r="A77" s="1"/>
      <c r="B77" s="1"/>
    </row>
    <row r="78" spans="1:2" ht="27.75" customHeight="1" x14ac:dyDescent="0.25">
      <c r="A78" s="1"/>
      <c r="B78" s="1"/>
    </row>
    <row r="79" spans="1:2" ht="27.75" customHeight="1" x14ac:dyDescent="0.25">
      <c r="A79" s="1"/>
      <c r="B79" s="1"/>
    </row>
    <row r="80" spans="1:2" ht="27.75" customHeight="1" x14ac:dyDescent="0.25">
      <c r="A80" s="1"/>
      <c r="B80" s="1"/>
    </row>
    <row r="81" spans="1:2" ht="27.75" customHeight="1" x14ac:dyDescent="0.25">
      <c r="A81" s="1"/>
      <c r="B81" s="1"/>
    </row>
    <row r="82" spans="1:2" ht="27.75" customHeight="1" x14ac:dyDescent="0.25">
      <c r="A82" s="1"/>
      <c r="B82" s="1"/>
    </row>
    <row r="83" spans="1:2" ht="27.75" customHeight="1" x14ac:dyDescent="0.25">
      <c r="A83" s="1"/>
      <c r="B83" s="1"/>
    </row>
    <row r="84" spans="1:2" ht="27.75" customHeight="1" x14ac:dyDescent="0.25">
      <c r="A84" s="1"/>
      <c r="B84" s="1"/>
    </row>
    <row r="85" spans="1:2" ht="27.75" customHeight="1" x14ac:dyDescent="0.25">
      <c r="A85" s="1"/>
      <c r="B85" s="1"/>
    </row>
    <row r="86" spans="1:2" ht="27.75" customHeight="1" x14ac:dyDescent="0.25">
      <c r="A86" s="1"/>
      <c r="B86" s="1"/>
    </row>
    <row r="87" spans="1:2" ht="27.75" customHeight="1" x14ac:dyDescent="0.25">
      <c r="A87" s="1"/>
      <c r="B87" s="1"/>
    </row>
    <row r="88" spans="1:2" ht="27.75" customHeight="1" x14ac:dyDescent="0.25">
      <c r="A88" s="1"/>
      <c r="B88" s="1"/>
    </row>
    <row r="89" spans="1:2" ht="27.75" customHeight="1" x14ac:dyDescent="0.25">
      <c r="A89" s="1"/>
      <c r="B89" s="1"/>
    </row>
    <row r="90" spans="1:2" ht="27.75" customHeight="1" x14ac:dyDescent="0.25">
      <c r="A90" s="1"/>
      <c r="B90" s="1"/>
    </row>
    <row r="91" spans="1:2" ht="27.75" customHeight="1" x14ac:dyDescent="0.25">
      <c r="A91" s="1"/>
      <c r="B91" s="1"/>
    </row>
    <row r="92" spans="1:2" ht="27.75" customHeight="1" x14ac:dyDescent="0.25">
      <c r="A92" s="1"/>
      <c r="B92" s="1"/>
    </row>
    <row r="93" spans="1:2" ht="27.75" customHeight="1" x14ac:dyDescent="0.25">
      <c r="A93" s="1"/>
      <c r="B93" s="1"/>
    </row>
    <row r="94" spans="1:2" ht="27.75" customHeight="1" x14ac:dyDescent="0.25">
      <c r="A94" s="1"/>
      <c r="B94" s="1"/>
    </row>
    <row r="95" spans="1:2" ht="27.75" customHeight="1" x14ac:dyDescent="0.25">
      <c r="A95" s="1"/>
      <c r="B95" s="1"/>
    </row>
    <row r="96" spans="1:2" ht="27.75" customHeight="1" x14ac:dyDescent="0.25">
      <c r="A96" s="1"/>
      <c r="B96" s="1"/>
    </row>
    <row r="97" spans="1:2" ht="27.75" customHeight="1" x14ac:dyDescent="0.25">
      <c r="A97" s="1"/>
      <c r="B97" s="1"/>
    </row>
    <row r="98" spans="1:2" ht="27.75" customHeight="1" x14ac:dyDescent="0.25">
      <c r="A98" s="1"/>
      <c r="B98" s="1"/>
    </row>
    <row r="99" spans="1:2" ht="27.75" customHeight="1" x14ac:dyDescent="0.25">
      <c r="A99" s="1"/>
      <c r="B99" s="1"/>
    </row>
    <row r="100" spans="1:2" ht="27.75" customHeight="1" x14ac:dyDescent="0.25">
      <c r="A100" s="1"/>
      <c r="B100" s="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EAAA08-B2A8-4152-9D9D-AEE9C3A67447}">
  <sheetPr codeName="Planilha12"/>
  <dimension ref="A1:Z100"/>
  <sheetViews>
    <sheetView showGridLines="0" showRowColHeaders="0" workbookViewId="0"/>
  </sheetViews>
  <sheetFormatPr defaultColWidth="14.85546875" defaultRowHeight="27.75" customHeight="1" x14ac:dyDescent="0.25"/>
  <cols>
    <col min="1" max="2" width="14.85546875" style="2"/>
    <col min="3" max="10" width="21.28515625" style="2" customWidth="1"/>
    <col min="11" max="16384" width="14.85546875" style="2"/>
  </cols>
  <sheetData>
    <row r="1" spans="1:26" ht="32.2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27.75" customHeight="1" x14ac:dyDescent="0.25">
      <c r="A2" s="1"/>
      <c r="B2" s="1"/>
    </row>
    <row r="3" spans="1:26" ht="27.75" customHeight="1" x14ac:dyDescent="0.25">
      <c r="A3" s="1"/>
      <c r="B3" s="1"/>
      <c r="C3" s="10" t="s">
        <v>18</v>
      </c>
      <c r="E3" s="10">
        <v>1</v>
      </c>
      <c r="F3" s="10">
        <v>2</v>
      </c>
      <c r="G3" s="10">
        <v>3</v>
      </c>
      <c r="H3" s="10">
        <v>4</v>
      </c>
      <c r="I3" s="10">
        <v>5</v>
      </c>
    </row>
    <row r="4" spans="1:26" ht="27.75" customHeight="1" x14ac:dyDescent="0.25">
      <c r="A4" s="1"/>
      <c r="B4" s="1"/>
      <c r="D4" s="8"/>
      <c r="E4" s="9" t="s">
        <v>0</v>
      </c>
      <c r="F4" s="9" t="s">
        <v>1</v>
      </c>
      <c r="G4" s="9" t="s">
        <v>2</v>
      </c>
      <c r="H4" s="9" t="s">
        <v>3</v>
      </c>
      <c r="I4" s="9" t="s">
        <v>4</v>
      </c>
    </row>
    <row r="5" spans="1:26" ht="27.75" customHeight="1" x14ac:dyDescent="0.25">
      <c r="A5" s="1"/>
      <c r="B5" s="1"/>
      <c r="C5" s="10">
        <v>11</v>
      </c>
      <c r="D5" s="6">
        <v>0.79166666666666663</v>
      </c>
      <c r="E5" s="7" t="str">
        <f>IFERROR(INDEX(Tabela2[[Disciplina]:[Disciplina]],MATCH($C$3&amp;E$3&amp;$C5,Tabela2[[aux]:[aux]],0)),"-")</f>
        <v>SRSC02S</v>
      </c>
      <c r="F5" s="7" t="str">
        <f>IFERROR(INDEX(Tabela2[[Disciplina]:[Disciplina]],MATCH($C$3&amp;F$3&amp;$C5,Tabela2[[aux]:[aux]],0)),"-")</f>
        <v>-</v>
      </c>
      <c r="G5" s="7" t="str">
        <f>IFERROR(INDEX(Tabela2[[Disciplina]:[Disciplina]],MATCH($C$3&amp;G$3&amp;$C5,Tabela2[[aux]:[aux]],0)),"-")</f>
        <v>-</v>
      </c>
      <c r="H5" s="7" t="str">
        <f>IFERROR(INDEX(Tabela2[[Disciplina]:[Disciplina]],MATCH($C$3&amp;H$3&amp;$C5,Tabela2[[aux]:[aux]],0)),"-")</f>
        <v>XPAD01S</v>
      </c>
      <c r="I5" s="7" t="str">
        <f>IFERROR(INDEX(Tabela2[[Disciplina]:[Disciplina]],MATCH($C$3&amp;I$3&amp;$C5,Tabela2[[aux]:[aux]],0)),"-")</f>
        <v>-</v>
      </c>
    </row>
    <row r="6" spans="1:26" ht="27.75" customHeight="1" x14ac:dyDescent="0.25">
      <c r="A6" s="1"/>
      <c r="B6" s="1"/>
      <c r="C6" s="10">
        <v>12</v>
      </c>
      <c r="D6" s="3">
        <v>0.82638888888888884</v>
      </c>
      <c r="E6" s="7" t="str">
        <f>IFERROR(INDEX(Tabela2[[Disciplina]:[Disciplina]],MATCH($C$3&amp;E$3&amp;$C6,Tabela2[[aux]:[aux]],0)),"-")</f>
        <v>SRSC02S</v>
      </c>
      <c r="F6" s="7" t="str">
        <f>IFERROR(INDEX(Tabela2[[Disciplina]:[Disciplina]],MATCH($C$3&amp;F$3&amp;$C6,Tabela2[[aux]:[aux]],0)),"-")</f>
        <v>-</v>
      </c>
      <c r="G6" s="7" t="str">
        <f>IFERROR(INDEX(Tabela2[[Disciplina]:[Disciplina]],MATCH($C$3&amp;G$3&amp;$C6,Tabela2[[aux]:[aux]],0)),"-")</f>
        <v>XPAD01S</v>
      </c>
      <c r="H6" s="7" t="str">
        <f>IFERROR(INDEX(Tabela2[[Disciplina]:[Disciplina]],MATCH($C$3&amp;H$3&amp;$C6,Tabela2[[aux]:[aux]],0)),"-")</f>
        <v>SMAC03S</v>
      </c>
      <c r="I6" s="7" t="str">
        <f>IFERROR(INDEX(Tabela2[[Disciplina]:[Disciplina]],MATCH($C$3&amp;I$3&amp;$C6,Tabela2[[aux]:[aux]],0)),"-")</f>
        <v>SMAC03S</v>
      </c>
    </row>
    <row r="7" spans="1:26" ht="27.75" customHeight="1" x14ac:dyDescent="0.25">
      <c r="A7" s="1"/>
      <c r="B7" s="1"/>
      <c r="C7" s="10">
        <v>13</v>
      </c>
      <c r="D7" s="3">
        <v>0.875</v>
      </c>
      <c r="E7" s="7" t="str">
        <f>IFERROR(INDEX(Tabela2[[Disciplina]:[Disciplina]],MATCH($C$3&amp;E$3&amp;$C7,Tabela2[[aux]:[aux]],0)),"-")</f>
        <v>-</v>
      </c>
      <c r="F7" s="7" t="str">
        <f>IFERROR(INDEX(Tabela2[[Disciplina]:[Disciplina]],MATCH($C$3&amp;F$3&amp;$C7,Tabela2[[aux]:[aux]],0)),"-")</f>
        <v>SRSC02S</v>
      </c>
      <c r="G7" s="7" t="str">
        <f>IFERROR(INDEX(Tabela2[[Disciplina]:[Disciplina]],MATCH($C$3&amp;G$3&amp;$C7,Tabela2[[aux]:[aux]],0)),"-")</f>
        <v>XPAD01S</v>
      </c>
      <c r="H7" s="7" t="str">
        <f>IFERROR(INDEX(Tabela2[[Disciplina]:[Disciplina]],MATCH($C$3&amp;H$3&amp;$C7,Tabela2[[aux]:[aux]],0)),"-")</f>
        <v>SMAC03S</v>
      </c>
      <c r="I7" s="7" t="str">
        <f>IFERROR(INDEX(Tabela2[[Disciplina]:[Disciplina]],MATCH($C$3&amp;I$3&amp;$C7,Tabela2[[aux]:[aux]],0)),"-")</f>
        <v>SMAC03S</v>
      </c>
    </row>
    <row r="8" spans="1:26" ht="27.75" customHeight="1" x14ac:dyDescent="0.25">
      <c r="A8" s="1"/>
      <c r="B8" s="1"/>
      <c r="C8" s="10">
        <v>14</v>
      </c>
      <c r="D8" s="3">
        <v>0.90972222222222221</v>
      </c>
      <c r="E8" s="7" t="str">
        <f>IFERROR(INDEX(Tabela2[[Disciplina]:[Disciplina]],MATCH($C$3&amp;E$3&amp;$C8,Tabela2[[aux]:[aux]],0)),"-")</f>
        <v>-</v>
      </c>
      <c r="F8" s="7" t="str">
        <f>IFERROR(INDEX(Tabela2[[Disciplina]:[Disciplina]],MATCH($C$3&amp;F$3&amp;$C8,Tabela2[[aux]:[aux]],0)),"-")</f>
        <v>SRSC02S</v>
      </c>
      <c r="G8" s="7" t="str">
        <f>IFERROR(INDEX(Tabela2[[Disciplina]:[Disciplina]],MATCH($C$3&amp;G$3&amp;$C8,Tabela2[[aux]:[aux]],0)),"-")</f>
        <v>XPAD01S</v>
      </c>
      <c r="H8" s="7" t="str">
        <f>IFERROR(INDEX(Tabela2[[Disciplina]:[Disciplina]],MATCH($C$3&amp;H$3&amp;$C8,Tabela2[[aux]:[aux]],0)),"-")</f>
        <v>IEPG14S</v>
      </c>
      <c r="I8" s="7" t="str">
        <f>IFERROR(INDEX(Tabela2[[Disciplina]:[Disciplina]],MATCH($C$3&amp;I$3&amp;$C8,Tabela2[[aux]:[aux]],0)),"-")</f>
        <v>XMAC02S</v>
      </c>
    </row>
    <row r="9" spans="1:26" ht="27.75" customHeight="1" x14ac:dyDescent="0.25">
      <c r="A9" s="1"/>
      <c r="B9" s="1"/>
      <c r="C9" s="10">
        <v>15</v>
      </c>
      <c r="D9" s="3">
        <v>0.94444444444444442</v>
      </c>
      <c r="E9" s="7" t="str">
        <f>IFERROR(INDEX(Tabela2[[Disciplina]:[Disciplina]],MATCH($C$3&amp;E$3&amp;$C9,Tabela2[[aux]:[aux]],0)),"-")</f>
        <v>XMAC02S</v>
      </c>
      <c r="F9" s="7" t="str">
        <f>IFERROR(INDEX(Tabela2[[Disciplina]:[Disciplina]],MATCH($C$3&amp;F$3&amp;$C9,Tabela2[[aux]:[aux]],0)),"-")</f>
        <v>XMAC02S</v>
      </c>
      <c r="G9" s="7" t="str">
        <f>IFERROR(INDEX(Tabela2[[Disciplina]:[Disciplina]],MATCH($C$3&amp;G$3&amp;$C9,Tabela2[[aux]:[aux]],0)),"-")</f>
        <v>-</v>
      </c>
      <c r="H9" s="7" t="str">
        <f>IFERROR(INDEX(Tabela2[[Disciplina]:[Disciplina]],MATCH($C$3&amp;H$3&amp;$C9,Tabela2[[aux]:[aux]],0)),"-")</f>
        <v>IEPG14S</v>
      </c>
      <c r="I9" s="7" t="str">
        <f>IFERROR(INDEX(Tabela2[[Disciplina]:[Disciplina]],MATCH($C$3&amp;I$3&amp;$C9,Tabela2[[aux]:[aux]],0)),"-")</f>
        <v>XMAC02S</v>
      </c>
    </row>
    <row r="10" spans="1:26" ht="9" customHeight="1" x14ac:dyDescent="0.25">
      <c r="A10" s="1"/>
      <c r="B10" s="1"/>
      <c r="C10" s="10"/>
    </row>
    <row r="11" spans="1:26" ht="27.75" customHeight="1" x14ac:dyDescent="0.25">
      <c r="A11" s="1"/>
      <c r="B11" s="1"/>
      <c r="C11" s="10"/>
    </row>
    <row r="12" spans="1:26" ht="27.75" customHeight="1" x14ac:dyDescent="0.25">
      <c r="A12" s="1"/>
      <c r="B12" s="1"/>
      <c r="C12" s="10"/>
    </row>
    <row r="13" spans="1:26" ht="27.75" customHeight="1" x14ac:dyDescent="0.25">
      <c r="A13" s="1"/>
      <c r="B13" s="1"/>
      <c r="C13" s="10"/>
    </row>
    <row r="14" spans="1:26" ht="27.75" customHeight="1" x14ac:dyDescent="0.25">
      <c r="A14" s="1"/>
      <c r="B14" s="1"/>
      <c r="C14" s="10"/>
    </row>
    <row r="15" spans="1:26" ht="27.75" customHeight="1" x14ac:dyDescent="0.25">
      <c r="A15" s="1"/>
      <c r="B15" s="1"/>
      <c r="C15" s="10"/>
    </row>
    <row r="16" spans="1:26" ht="27.75" customHeight="1" x14ac:dyDescent="0.25">
      <c r="A16" s="1"/>
      <c r="B16" s="1"/>
    </row>
    <row r="17" spans="1:2" ht="27.75" customHeight="1" x14ac:dyDescent="0.25">
      <c r="A17" s="1"/>
      <c r="B17" s="1"/>
    </row>
    <row r="18" spans="1:2" ht="27.75" customHeight="1" x14ac:dyDescent="0.25">
      <c r="A18" s="1"/>
      <c r="B18" s="1"/>
    </row>
    <row r="19" spans="1:2" ht="27.75" customHeight="1" x14ac:dyDescent="0.25">
      <c r="A19" s="1"/>
      <c r="B19" s="1"/>
    </row>
    <row r="20" spans="1:2" ht="27.75" customHeight="1" x14ac:dyDescent="0.25">
      <c r="A20" s="1"/>
      <c r="B20" s="1"/>
    </row>
    <row r="21" spans="1:2" ht="27.75" customHeight="1" x14ac:dyDescent="0.25">
      <c r="A21" s="1"/>
      <c r="B21" s="1"/>
    </row>
    <row r="22" spans="1:2" ht="27.75" customHeight="1" x14ac:dyDescent="0.25">
      <c r="A22" s="1"/>
      <c r="B22" s="1"/>
    </row>
    <row r="23" spans="1:2" ht="27.75" customHeight="1" x14ac:dyDescent="0.25">
      <c r="A23" s="1"/>
      <c r="B23" s="1"/>
    </row>
    <row r="24" spans="1:2" ht="27.75" customHeight="1" x14ac:dyDescent="0.25">
      <c r="A24" s="1"/>
      <c r="B24" s="1"/>
    </row>
    <row r="25" spans="1:2" ht="27.75" customHeight="1" x14ac:dyDescent="0.25">
      <c r="A25" s="1"/>
      <c r="B25" s="1"/>
    </row>
    <row r="26" spans="1:2" ht="27.75" customHeight="1" x14ac:dyDescent="0.25">
      <c r="A26" s="1"/>
      <c r="B26" s="1"/>
    </row>
    <row r="27" spans="1:2" ht="27.75" customHeight="1" x14ac:dyDescent="0.25">
      <c r="A27" s="1"/>
      <c r="B27" s="1"/>
    </row>
    <row r="28" spans="1:2" ht="27.75" customHeight="1" x14ac:dyDescent="0.25">
      <c r="A28" s="1"/>
      <c r="B28" s="1"/>
    </row>
    <row r="29" spans="1:2" ht="27.75" customHeight="1" x14ac:dyDescent="0.25">
      <c r="A29" s="1"/>
      <c r="B29" s="1"/>
    </row>
    <row r="30" spans="1:2" ht="27.75" customHeight="1" x14ac:dyDescent="0.25">
      <c r="A30" s="1"/>
      <c r="B30" s="1"/>
    </row>
    <row r="31" spans="1:2" ht="27.75" customHeight="1" x14ac:dyDescent="0.25">
      <c r="A31" s="1"/>
      <c r="B31" s="1"/>
    </row>
    <row r="32" spans="1:2" ht="27.75" customHeight="1" x14ac:dyDescent="0.25">
      <c r="A32" s="1"/>
      <c r="B32" s="1"/>
    </row>
    <row r="33" spans="1:2" ht="27.75" customHeight="1" x14ac:dyDescent="0.25">
      <c r="A33" s="1"/>
      <c r="B33" s="1"/>
    </row>
    <row r="34" spans="1:2" ht="27.75" customHeight="1" x14ac:dyDescent="0.25">
      <c r="A34" s="1"/>
      <c r="B34" s="1"/>
    </row>
    <row r="35" spans="1:2" ht="27.75" customHeight="1" x14ac:dyDescent="0.25">
      <c r="A35" s="1"/>
      <c r="B35" s="1"/>
    </row>
    <row r="36" spans="1:2" ht="27.75" customHeight="1" x14ac:dyDescent="0.25">
      <c r="A36" s="1"/>
      <c r="B36" s="1"/>
    </row>
    <row r="37" spans="1:2" ht="27.75" customHeight="1" x14ac:dyDescent="0.25">
      <c r="A37" s="1"/>
      <c r="B37" s="1"/>
    </row>
    <row r="38" spans="1:2" ht="27.75" customHeight="1" x14ac:dyDescent="0.25">
      <c r="A38" s="1"/>
      <c r="B38" s="1"/>
    </row>
    <row r="39" spans="1:2" ht="27.75" customHeight="1" x14ac:dyDescent="0.25">
      <c r="A39" s="1"/>
      <c r="B39" s="1"/>
    </row>
    <row r="40" spans="1:2" ht="27.75" customHeight="1" x14ac:dyDescent="0.25">
      <c r="A40" s="1"/>
      <c r="B40" s="1"/>
    </row>
    <row r="41" spans="1:2" ht="27.75" customHeight="1" x14ac:dyDescent="0.25">
      <c r="A41" s="1"/>
      <c r="B41" s="1"/>
    </row>
    <row r="42" spans="1:2" ht="27.75" customHeight="1" x14ac:dyDescent="0.25">
      <c r="A42" s="1"/>
      <c r="B42" s="1"/>
    </row>
    <row r="43" spans="1:2" ht="27.75" customHeight="1" x14ac:dyDescent="0.25">
      <c r="A43" s="1"/>
      <c r="B43" s="1"/>
    </row>
    <row r="44" spans="1:2" ht="27.75" customHeight="1" x14ac:dyDescent="0.25">
      <c r="A44" s="1"/>
      <c r="B44" s="1"/>
    </row>
    <row r="45" spans="1:2" ht="27.75" customHeight="1" x14ac:dyDescent="0.25">
      <c r="A45" s="1"/>
      <c r="B45" s="1"/>
    </row>
    <row r="46" spans="1:2" ht="27.75" customHeight="1" x14ac:dyDescent="0.25">
      <c r="A46" s="1"/>
      <c r="B46" s="1"/>
    </row>
    <row r="47" spans="1:2" ht="27.75" customHeight="1" x14ac:dyDescent="0.25">
      <c r="A47" s="1"/>
      <c r="B47" s="1"/>
    </row>
    <row r="48" spans="1:2" ht="27.75" customHeight="1" x14ac:dyDescent="0.25">
      <c r="A48" s="1"/>
      <c r="B48" s="1"/>
    </row>
    <row r="49" spans="1:2" ht="27.75" customHeight="1" x14ac:dyDescent="0.25">
      <c r="A49" s="1"/>
      <c r="B49" s="1"/>
    </row>
    <row r="50" spans="1:2" ht="27.75" customHeight="1" x14ac:dyDescent="0.25">
      <c r="A50" s="1"/>
      <c r="B50" s="1"/>
    </row>
    <row r="51" spans="1:2" ht="27.75" customHeight="1" x14ac:dyDescent="0.25">
      <c r="A51" s="1"/>
      <c r="B51" s="1"/>
    </row>
    <row r="52" spans="1:2" ht="27.75" customHeight="1" x14ac:dyDescent="0.25">
      <c r="A52" s="1"/>
      <c r="B52" s="1"/>
    </row>
    <row r="53" spans="1:2" ht="27.75" customHeight="1" x14ac:dyDescent="0.25">
      <c r="A53" s="1"/>
      <c r="B53" s="1"/>
    </row>
    <row r="54" spans="1:2" ht="27.75" customHeight="1" x14ac:dyDescent="0.25">
      <c r="A54" s="1"/>
      <c r="B54" s="1"/>
    </row>
    <row r="55" spans="1:2" ht="27.75" customHeight="1" x14ac:dyDescent="0.25">
      <c r="A55" s="1"/>
      <c r="B55" s="1"/>
    </row>
    <row r="56" spans="1:2" ht="27.75" customHeight="1" x14ac:dyDescent="0.25">
      <c r="A56" s="1"/>
      <c r="B56" s="1"/>
    </row>
    <row r="57" spans="1:2" ht="27.75" customHeight="1" x14ac:dyDescent="0.25">
      <c r="A57" s="1"/>
      <c r="B57" s="1"/>
    </row>
    <row r="58" spans="1:2" ht="27.75" customHeight="1" x14ac:dyDescent="0.25">
      <c r="A58" s="1"/>
      <c r="B58" s="1"/>
    </row>
    <row r="59" spans="1:2" ht="27.75" customHeight="1" x14ac:dyDescent="0.25">
      <c r="A59" s="1"/>
      <c r="B59" s="1"/>
    </row>
    <row r="60" spans="1:2" ht="27.75" customHeight="1" x14ac:dyDescent="0.25">
      <c r="A60" s="1"/>
      <c r="B60" s="1"/>
    </row>
    <row r="61" spans="1:2" ht="27.75" customHeight="1" x14ac:dyDescent="0.25">
      <c r="A61" s="1"/>
      <c r="B61" s="1"/>
    </row>
    <row r="62" spans="1:2" ht="27.75" customHeight="1" x14ac:dyDescent="0.25">
      <c r="A62" s="1"/>
      <c r="B62" s="1"/>
    </row>
    <row r="63" spans="1:2" ht="27.75" customHeight="1" x14ac:dyDescent="0.25">
      <c r="A63" s="1"/>
      <c r="B63" s="1"/>
    </row>
    <row r="64" spans="1:2" ht="27.75" customHeight="1" x14ac:dyDescent="0.25">
      <c r="A64" s="1"/>
      <c r="B64" s="1"/>
    </row>
    <row r="65" spans="1:2" ht="27.75" customHeight="1" x14ac:dyDescent="0.25">
      <c r="A65" s="1"/>
      <c r="B65" s="1"/>
    </row>
    <row r="66" spans="1:2" ht="27.75" customHeight="1" x14ac:dyDescent="0.25">
      <c r="A66" s="1"/>
      <c r="B66" s="1"/>
    </row>
    <row r="67" spans="1:2" ht="27.75" customHeight="1" x14ac:dyDescent="0.25">
      <c r="A67" s="1"/>
      <c r="B67" s="1"/>
    </row>
    <row r="68" spans="1:2" ht="27.75" customHeight="1" x14ac:dyDescent="0.25">
      <c r="A68" s="1"/>
      <c r="B68" s="1"/>
    </row>
    <row r="69" spans="1:2" ht="27.75" customHeight="1" x14ac:dyDescent="0.25">
      <c r="A69" s="1"/>
      <c r="B69" s="1"/>
    </row>
    <row r="70" spans="1:2" ht="27.75" customHeight="1" x14ac:dyDescent="0.25">
      <c r="A70" s="1"/>
      <c r="B70" s="1"/>
    </row>
    <row r="71" spans="1:2" ht="27.75" customHeight="1" x14ac:dyDescent="0.25">
      <c r="A71" s="1"/>
      <c r="B71" s="1"/>
    </row>
    <row r="72" spans="1:2" ht="27.75" customHeight="1" x14ac:dyDescent="0.25">
      <c r="A72" s="1"/>
      <c r="B72" s="1"/>
    </row>
    <row r="73" spans="1:2" ht="27.75" customHeight="1" x14ac:dyDescent="0.25">
      <c r="A73" s="1"/>
      <c r="B73" s="1"/>
    </row>
    <row r="74" spans="1:2" ht="27.75" customHeight="1" x14ac:dyDescent="0.25">
      <c r="A74" s="1"/>
      <c r="B74" s="1"/>
    </row>
    <row r="75" spans="1:2" ht="27.75" customHeight="1" x14ac:dyDescent="0.25">
      <c r="A75" s="1"/>
      <c r="B75" s="1"/>
    </row>
    <row r="76" spans="1:2" ht="27.75" customHeight="1" x14ac:dyDescent="0.25">
      <c r="A76" s="1"/>
      <c r="B76" s="1"/>
    </row>
    <row r="77" spans="1:2" ht="27.75" customHeight="1" x14ac:dyDescent="0.25">
      <c r="A77" s="1"/>
      <c r="B77" s="1"/>
    </row>
    <row r="78" spans="1:2" ht="27.75" customHeight="1" x14ac:dyDescent="0.25">
      <c r="A78" s="1"/>
      <c r="B78" s="1"/>
    </row>
    <row r="79" spans="1:2" ht="27.75" customHeight="1" x14ac:dyDescent="0.25">
      <c r="A79" s="1"/>
      <c r="B79" s="1"/>
    </row>
    <row r="80" spans="1:2" ht="27.75" customHeight="1" x14ac:dyDescent="0.25">
      <c r="A80" s="1"/>
      <c r="B80" s="1"/>
    </row>
    <row r="81" spans="1:2" ht="27.75" customHeight="1" x14ac:dyDescent="0.25">
      <c r="A81" s="1"/>
      <c r="B81" s="1"/>
    </row>
    <row r="82" spans="1:2" ht="27.75" customHeight="1" x14ac:dyDescent="0.25">
      <c r="A82" s="1"/>
      <c r="B82" s="1"/>
    </row>
    <row r="83" spans="1:2" ht="27.75" customHeight="1" x14ac:dyDescent="0.25">
      <c r="A83" s="1"/>
      <c r="B83" s="1"/>
    </row>
    <row r="84" spans="1:2" ht="27.75" customHeight="1" x14ac:dyDescent="0.25">
      <c r="A84" s="1"/>
      <c r="B84" s="1"/>
    </row>
    <row r="85" spans="1:2" ht="27.75" customHeight="1" x14ac:dyDescent="0.25">
      <c r="A85" s="1"/>
      <c r="B85" s="1"/>
    </row>
    <row r="86" spans="1:2" ht="27.75" customHeight="1" x14ac:dyDescent="0.25">
      <c r="A86" s="1"/>
      <c r="B86" s="1"/>
    </row>
    <row r="87" spans="1:2" ht="27.75" customHeight="1" x14ac:dyDescent="0.25">
      <c r="A87" s="1"/>
      <c r="B87" s="1"/>
    </row>
    <row r="88" spans="1:2" ht="27.75" customHeight="1" x14ac:dyDescent="0.25">
      <c r="A88" s="1"/>
      <c r="B88" s="1"/>
    </row>
    <row r="89" spans="1:2" ht="27.75" customHeight="1" x14ac:dyDescent="0.25">
      <c r="A89" s="1"/>
      <c r="B89" s="1"/>
    </row>
    <row r="90" spans="1:2" ht="27.75" customHeight="1" x14ac:dyDescent="0.25">
      <c r="A90" s="1"/>
      <c r="B90" s="1"/>
    </row>
    <row r="91" spans="1:2" ht="27.75" customHeight="1" x14ac:dyDescent="0.25">
      <c r="A91" s="1"/>
      <c r="B91" s="1"/>
    </row>
    <row r="92" spans="1:2" ht="27.75" customHeight="1" x14ac:dyDescent="0.25">
      <c r="A92" s="1"/>
      <c r="B92" s="1"/>
    </row>
    <row r="93" spans="1:2" ht="27.75" customHeight="1" x14ac:dyDescent="0.25">
      <c r="A93" s="1"/>
      <c r="B93" s="1"/>
    </row>
    <row r="94" spans="1:2" ht="27.75" customHeight="1" x14ac:dyDescent="0.25">
      <c r="A94" s="1"/>
      <c r="B94" s="1"/>
    </row>
    <row r="95" spans="1:2" ht="27.75" customHeight="1" x14ac:dyDescent="0.25">
      <c r="A95" s="1"/>
      <c r="B95" s="1"/>
    </row>
    <row r="96" spans="1:2" ht="27.75" customHeight="1" x14ac:dyDescent="0.25">
      <c r="A96" s="1"/>
      <c r="B96" s="1"/>
    </row>
    <row r="97" spans="1:2" ht="27.75" customHeight="1" x14ac:dyDescent="0.25">
      <c r="A97" s="1"/>
      <c r="B97" s="1"/>
    </row>
    <row r="98" spans="1:2" ht="27.75" customHeight="1" x14ac:dyDescent="0.25">
      <c r="A98" s="1"/>
      <c r="B98" s="1"/>
    </row>
    <row r="99" spans="1:2" ht="27.75" customHeight="1" x14ac:dyDescent="0.25">
      <c r="A99" s="1"/>
      <c r="B99" s="1"/>
    </row>
    <row r="100" spans="1:2" ht="27.75" customHeight="1" x14ac:dyDescent="0.25">
      <c r="A100" s="1"/>
      <c r="B100" s="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3D2E4-9202-4D1E-947E-3E4BF9AE2541}">
  <sheetPr codeName="Planilha13"/>
  <dimension ref="A1:Z100"/>
  <sheetViews>
    <sheetView showGridLines="0" showRowColHeaders="0" workbookViewId="0">
      <selection activeCell="L19" sqref="L19"/>
    </sheetView>
  </sheetViews>
  <sheetFormatPr defaultColWidth="14.85546875" defaultRowHeight="27.75" customHeight="1" x14ac:dyDescent="0.25"/>
  <cols>
    <col min="1" max="2" width="14.85546875" style="2"/>
    <col min="3" max="10" width="21.28515625" style="2" customWidth="1"/>
    <col min="11" max="16384" width="14.85546875" style="2"/>
  </cols>
  <sheetData>
    <row r="1" spans="1:26" ht="32.2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27.75" customHeight="1" x14ac:dyDescent="0.25">
      <c r="A2" s="1"/>
      <c r="B2" s="1"/>
    </row>
    <row r="3" spans="1:26" ht="27.75" customHeight="1" x14ac:dyDescent="0.25">
      <c r="A3" s="1"/>
      <c r="B3" s="1"/>
      <c r="C3" s="10" t="s">
        <v>21</v>
      </c>
      <c r="E3" s="10">
        <v>1</v>
      </c>
      <c r="F3" s="10">
        <v>2</v>
      </c>
      <c r="G3" s="10">
        <v>3</v>
      </c>
      <c r="H3" s="10">
        <v>4</v>
      </c>
      <c r="I3" s="10">
        <v>5</v>
      </c>
    </row>
    <row r="4" spans="1:26" ht="27.75" customHeight="1" x14ac:dyDescent="0.25">
      <c r="A4" s="1"/>
      <c r="B4" s="1"/>
      <c r="D4" s="8"/>
      <c r="E4" s="9" t="s">
        <v>0</v>
      </c>
      <c r="F4" s="9" t="s">
        <v>1</v>
      </c>
      <c r="G4" s="9" t="s">
        <v>2</v>
      </c>
      <c r="H4" s="9" t="s">
        <v>3</v>
      </c>
      <c r="I4" s="9" t="s">
        <v>4</v>
      </c>
    </row>
    <row r="5" spans="1:26" ht="27.75" customHeight="1" x14ac:dyDescent="0.25">
      <c r="A5" s="1"/>
      <c r="B5" s="1"/>
      <c r="C5" s="10">
        <v>11</v>
      </c>
      <c r="D5" s="6">
        <v>0.79166666666666663</v>
      </c>
      <c r="E5" s="7" t="str">
        <f>IFERROR(INDEX(Tabela2[[Disciplina]:[Disciplina]],MATCH($C$3&amp;E$3&amp;$C5,Tabela2[[aux]:[aux]],0)),"-")</f>
        <v>SPAD02S</v>
      </c>
      <c r="F5" s="7" t="str">
        <f>IFERROR(INDEX(Tabela2[[Disciplina]:[Disciplina]],MATCH($C$3&amp;F$3&amp;$C5,Tabela2[[aux]:[aux]],0)),"-")</f>
        <v>-</v>
      </c>
      <c r="G5" s="7" t="str">
        <f>IFERROR(INDEX(Tabela2[[Disciplina]:[Disciplina]],MATCH($C$3&amp;G$3&amp;$C5,Tabela2[[aux]:[aux]],0)),"-")</f>
        <v>SPAD02S</v>
      </c>
      <c r="H5" s="7" t="str">
        <f>IFERROR(INDEX(Tabela2[[Disciplina]:[Disciplina]],MATCH($C$3&amp;H$3&amp;$C5,Tabela2[[aux]:[aux]],0)),"-")</f>
        <v>ADM51ES</v>
      </c>
      <c r="I5" s="7" t="str">
        <f>IFERROR(INDEX(Tabela2[[Disciplina]:[Disciplina]],MATCH($C$3&amp;I$3&amp;$C5,Tabela2[[aux]:[aux]],0)),"-")</f>
        <v>-</v>
      </c>
    </row>
    <row r="6" spans="1:26" ht="27.75" customHeight="1" x14ac:dyDescent="0.25">
      <c r="A6" s="1"/>
      <c r="B6" s="1"/>
      <c r="C6" s="10">
        <v>12</v>
      </c>
      <c r="D6" s="3">
        <v>0.82638888888888884</v>
      </c>
      <c r="E6" s="7" t="str">
        <f>IFERROR(INDEX(Tabela2[[Disciplina]:[Disciplina]],MATCH($C$3&amp;E$3&amp;$C6,Tabela2[[aux]:[aux]],0)),"-")</f>
        <v>SPAD02S</v>
      </c>
      <c r="F6" s="7" t="str">
        <f>IFERROR(INDEX(Tabela2[[Disciplina]:[Disciplina]],MATCH($C$3&amp;F$3&amp;$C6,Tabela2[[aux]:[aux]],0)),"-")</f>
        <v>IEPG21S</v>
      </c>
      <c r="G6" s="7" t="str">
        <f>IFERROR(INDEX(Tabela2[[Disciplina]:[Disciplina]],MATCH($C$3&amp;G$3&amp;$C6,Tabela2[[aux]:[aux]],0)),"-")</f>
        <v>SPAD03S</v>
      </c>
      <c r="H6" s="7" t="str">
        <f>IFERROR(INDEX(Tabela2[[Disciplina]:[Disciplina]],MATCH($C$3&amp;H$3&amp;$C6,Tabela2[[aux]:[aux]],0)),"-")</f>
        <v>-</v>
      </c>
      <c r="I6" s="7" t="str">
        <f>IFERROR(INDEX(Tabela2[[Disciplina]:[Disciplina]],MATCH($C$3&amp;I$3&amp;$C6,Tabela2[[aux]:[aux]],0)),"-")</f>
        <v>-</v>
      </c>
    </row>
    <row r="7" spans="1:26" ht="27.75" customHeight="1" x14ac:dyDescent="0.25">
      <c r="A7" s="1"/>
      <c r="B7" s="1"/>
      <c r="C7" s="10">
        <v>13</v>
      </c>
      <c r="D7" s="3">
        <v>0.875</v>
      </c>
      <c r="E7" s="7" t="str">
        <f>IFERROR(INDEX(Tabela2[[Disciplina]:[Disciplina]],MATCH($C$3&amp;E$3&amp;$C7,Tabela2[[aux]:[aux]],0)),"-")</f>
        <v>XRSC01S</v>
      </c>
      <c r="F7" s="7" t="str">
        <f>IFERROR(INDEX(Tabela2[[Disciplina]:[Disciplina]],MATCH($C$3&amp;F$3&amp;$C7,Tabela2[[aux]:[aux]],0)),"-")</f>
        <v>SPAD02S</v>
      </c>
      <c r="G7" s="7" t="str">
        <f>IFERROR(INDEX(Tabela2[[Disciplina]:[Disciplina]],MATCH($C$3&amp;G$3&amp;$C7,Tabela2[[aux]:[aux]],0)),"-")</f>
        <v>SPAD03S</v>
      </c>
      <c r="H7" s="7" t="str">
        <f>IFERROR(INDEX(Tabela2[[Disciplina]:[Disciplina]],MATCH($C$3&amp;H$3&amp;$C7,Tabela2[[aux]:[aux]],0)),"-")</f>
        <v>XRSC01S</v>
      </c>
      <c r="I7" s="7" t="str">
        <f>IFERROR(INDEX(Tabela2[[Disciplina]:[Disciplina]],MATCH($C$3&amp;I$3&amp;$C7,Tabela2[[aux]:[aux]],0)),"-")</f>
        <v>ADM51ES</v>
      </c>
    </row>
    <row r="8" spans="1:26" ht="27.75" customHeight="1" x14ac:dyDescent="0.25">
      <c r="A8" s="1"/>
      <c r="B8" s="1"/>
      <c r="C8" s="10">
        <v>14</v>
      </c>
      <c r="D8" s="3">
        <v>0.90972222222222221</v>
      </c>
      <c r="E8" s="7" t="str">
        <f>IFERROR(INDEX(Tabela2[[Disciplina]:[Disciplina]],MATCH($C$3&amp;E$3&amp;$C8,Tabela2[[aux]:[aux]],0)),"-")</f>
        <v>XRSC01S</v>
      </c>
      <c r="F8" s="7" t="str">
        <f>IFERROR(INDEX(Tabela2[[Disciplina]:[Disciplina]],MATCH($C$3&amp;F$3&amp;$C8,Tabela2[[aux]:[aux]],0)),"-")</f>
        <v>SPAD03S</v>
      </c>
      <c r="G8" s="7" t="str">
        <f>IFERROR(INDEX(Tabela2[[Disciplina]:[Disciplina]],MATCH($C$3&amp;G$3&amp;$C8,Tabela2[[aux]:[aux]],0)),"-")</f>
        <v>IEPG21S</v>
      </c>
      <c r="H8" s="7" t="str">
        <f>IFERROR(INDEX(Tabela2[[Disciplina]:[Disciplina]],MATCH($C$3&amp;H$3&amp;$C8,Tabela2[[aux]:[aux]],0)),"-")</f>
        <v>XRSC01S</v>
      </c>
      <c r="I8" s="7" t="str">
        <f>IFERROR(INDEX(Tabela2[[Disciplina]:[Disciplina]],MATCH($C$3&amp;I$3&amp;$C8,Tabela2[[aux]:[aux]],0)),"-")</f>
        <v>ADM51ES</v>
      </c>
    </row>
    <row r="9" spans="1:26" ht="27.75" customHeight="1" x14ac:dyDescent="0.25">
      <c r="A9" s="1"/>
      <c r="B9" s="1"/>
      <c r="C9" s="10">
        <v>15</v>
      </c>
      <c r="D9" s="3">
        <v>0.94444444444444442</v>
      </c>
      <c r="E9" s="7" t="str">
        <f>IFERROR(INDEX(Tabela2[[Disciplina]:[Disciplina]],MATCH($C$3&amp;E$3&amp;$C9,Tabela2[[aux]:[aux]],0)),"-")</f>
        <v>-</v>
      </c>
      <c r="F9" s="7" t="str">
        <f>IFERROR(INDEX(Tabela2[[Disciplina]:[Disciplina]],MATCH($C$3&amp;F$3&amp;$C9,Tabela2[[aux]:[aux]],0)),"-")</f>
        <v>SPAD03S</v>
      </c>
      <c r="G9" s="7" t="str">
        <f>IFERROR(INDEX(Tabela2[[Disciplina]:[Disciplina]],MATCH($C$3&amp;G$3&amp;$C9,Tabela2[[aux]:[aux]],0)),"-")</f>
        <v>IEPG21S</v>
      </c>
      <c r="H9" s="7" t="str">
        <f>IFERROR(INDEX(Tabela2[[Disciplina]:[Disciplina]],MATCH($C$3&amp;H$3&amp;$C9,Tabela2[[aux]:[aux]],0)),"-")</f>
        <v>-</v>
      </c>
      <c r="I9" s="7" t="str">
        <f>IFERROR(INDEX(Tabela2[[Disciplina]:[Disciplina]],MATCH($C$3&amp;I$3&amp;$C9,Tabela2[[aux]:[aux]],0)),"-")</f>
        <v>-</v>
      </c>
    </row>
    <row r="10" spans="1:26" ht="9" customHeight="1" x14ac:dyDescent="0.25">
      <c r="A10" s="1"/>
      <c r="B10" s="1"/>
      <c r="C10" s="10"/>
    </row>
    <row r="11" spans="1:26" ht="27.75" customHeight="1" x14ac:dyDescent="0.25">
      <c r="A11" s="1"/>
      <c r="B11" s="1"/>
      <c r="C11" s="10"/>
    </row>
    <row r="12" spans="1:26" ht="27.75" customHeight="1" x14ac:dyDescent="0.25">
      <c r="A12" s="1"/>
      <c r="B12" s="1"/>
      <c r="C12" s="10"/>
    </row>
    <row r="13" spans="1:26" ht="27.75" customHeight="1" x14ac:dyDescent="0.25">
      <c r="A13" s="1"/>
      <c r="B13" s="1"/>
      <c r="C13" s="10"/>
    </row>
    <row r="14" spans="1:26" ht="27.75" customHeight="1" x14ac:dyDescent="0.25">
      <c r="A14" s="1"/>
      <c r="B14" s="1"/>
      <c r="C14" s="10"/>
    </row>
    <row r="15" spans="1:26" ht="27.75" customHeight="1" x14ac:dyDescent="0.25">
      <c r="A15" s="1"/>
      <c r="B15" s="1"/>
      <c r="C15" s="10"/>
    </row>
    <row r="16" spans="1:26" ht="27.75" customHeight="1" x14ac:dyDescent="0.25">
      <c r="A16" s="1"/>
      <c r="B16" s="1"/>
    </row>
    <row r="17" spans="1:2" ht="27.75" customHeight="1" x14ac:dyDescent="0.25">
      <c r="A17" s="1"/>
      <c r="B17" s="1"/>
    </row>
    <row r="18" spans="1:2" ht="27.75" customHeight="1" x14ac:dyDescent="0.25">
      <c r="A18" s="1"/>
      <c r="B18" s="1"/>
    </row>
    <row r="19" spans="1:2" ht="27.75" customHeight="1" x14ac:dyDescent="0.25">
      <c r="A19" s="1"/>
      <c r="B19" s="1"/>
    </row>
    <row r="20" spans="1:2" ht="27.75" customHeight="1" x14ac:dyDescent="0.25">
      <c r="A20" s="1"/>
      <c r="B20" s="1"/>
    </row>
    <row r="21" spans="1:2" ht="27.75" customHeight="1" x14ac:dyDescent="0.25">
      <c r="A21" s="1"/>
      <c r="B21" s="1"/>
    </row>
    <row r="22" spans="1:2" ht="27.75" customHeight="1" x14ac:dyDescent="0.25">
      <c r="A22" s="1"/>
      <c r="B22" s="1"/>
    </row>
    <row r="23" spans="1:2" ht="27.75" customHeight="1" x14ac:dyDescent="0.25">
      <c r="A23" s="1"/>
      <c r="B23" s="1"/>
    </row>
    <row r="24" spans="1:2" ht="27.75" customHeight="1" x14ac:dyDescent="0.25">
      <c r="A24" s="1"/>
      <c r="B24" s="1"/>
    </row>
    <row r="25" spans="1:2" ht="27.75" customHeight="1" x14ac:dyDescent="0.25">
      <c r="A25" s="1"/>
      <c r="B25" s="1"/>
    </row>
    <row r="26" spans="1:2" ht="27.75" customHeight="1" x14ac:dyDescent="0.25">
      <c r="A26" s="1"/>
      <c r="B26" s="1"/>
    </row>
    <row r="27" spans="1:2" ht="27.75" customHeight="1" x14ac:dyDescent="0.25">
      <c r="A27" s="1"/>
      <c r="B27" s="1"/>
    </row>
    <row r="28" spans="1:2" ht="27.75" customHeight="1" x14ac:dyDescent="0.25">
      <c r="A28" s="1"/>
      <c r="B28" s="1"/>
    </row>
    <row r="29" spans="1:2" ht="27.75" customHeight="1" x14ac:dyDescent="0.25">
      <c r="A29" s="1"/>
      <c r="B29" s="1"/>
    </row>
    <row r="30" spans="1:2" ht="27.75" customHeight="1" x14ac:dyDescent="0.25">
      <c r="A30" s="1"/>
      <c r="B30" s="1"/>
    </row>
    <row r="31" spans="1:2" ht="27.75" customHeight="1" x14ac:dyDescent="0.25">
      <c r="A31" s="1"/>
      <c r="B31" s="1"/>
    </row>
    <row r="32" spans="1:2" ht="27.75" customHeight="1" x14ac:dyDescent="0.25">
      <c r="A32" s="1"/>
      <c r="B32" s="1"/>
    </row>
    <row r="33" spans="1:2" ht="27.75" customHeight="1" x14ac:dyDescent="0.25">
      <c r="A33" s="1"/>
      <c r="B33" s="1"/>
    </row>
    <row r="34" spans="1:2" ht="27.75" customHeight="1" x14ac:dyDescent="0.25">
      <c r="A34" s="1"/>
      <c r="B34" s="1"/>
    </row>
    <row r="35" spans="1:2" ht="27.75" customHeight="1" x14ac:dyDescent="0.25">
      <c r="A35" s="1"/>
      <c r="B35" s="1"/>
    </row>
    <row r="36" spans="1:2" ht="27.75" customHeight="1" x14ac:dyDescent="0.25">
      <c r="A36" s="1"/>
      <c r="B36" s="1"/>
    </row>
    <row r="37" spans="1:2" ht="27.75" customHeight="1" x14ac:dyDescent="0.25">
      <c r="A37" s="1"/>
      <c r="B37" s="1"/>
    </row>
    <row r="38" spans="1:2" ht="27.75" customHeight="1" x14ac:dyDescent="0.25">
      <c r="A38" s="1"/>
      <c r="B38" s="1"/>
    </row>
    <row r="39" spans="1:2" ht="27.75" customHeight="1" x14ac:dyDescent="0.25">
      <c r="A39" s="1"/>
      <c r="B39" s="1"/>
    </row>
    <row r="40" spans="1:2" ht="27.75" customHeight="1" x14ac:dyDescent="0.25">
      <c r="A40" s="1"/>
      <c r="B40" s="1"/>
    </row>
    <row r="41" spans="1:2" ht="27.75" customHeight="1" x14ac:dyDescent="0.25">
      <c r="A41" s="1"/>
      <c r="B41" s="1"/>
    </row>
    <row r="42" spans="1:2" ht="27.75" customHeight="1" x14ac:dyDescent="0.25">
      <c r="A42" s="1"/>
      <c r="B42" s="1"/>
    </row>
    <row r="43" spans="1:2" ht="27.75" customHeight="1" x14ac:dyDescent="0.25">
      <c r="A43" s="1"/>
      <c r="B43" s="1"/>
    </row>
    <row r="44" spans="1:2" ht="27.75" customHeight="1" x14ac:dyDescent="0.25">
      <c r="A44" s="1"/>
      <c r="B44" s="1"/>
    </row>
    <row r="45" spans="1:2" ht="27.75" customHeight="1" x14ac:dyDescent="0.25">
      <c r="A45" s="1"/>
      <c r="B45" s="1"/>
    </row>
    <row r="46" spans="1:2" ht="27.75" customHeight="1" x14ac:dyDescent="0.25">
      <c r="A46" s="1"/>
      <c r="B46" s="1"/>
    </row>
    <row r="47" spans="1:2" ht="27.75" customHeight="1" x14ac:dyDescent="0.25">
      <c r="A47" s="1"/>
      <c r="B47" s="1"/>
    </row>
    <row r="48" spans="1:2" ht="27.75" customHeight="1" x14ac:dyDescent="0.25">
      <c r="A48" s="1"/>
      <c r="B48" s="1"/>
    </row>
    <row r="49" spans="1:2" ht="27.75" customHeight="1" x14ac:dyDescent="0.25">
      <c r="A49" s="1"/>
      <c r="B49" s="1"/>
    </row>
    <row r="50" spans="1:2" ht="27.75" customHeight="1" x14ac:dyDescent="0.25">
      <c r="A50" s="1"/>
      <c r="B50" s="1"/>
    </row>
    <row r="51" spans="1:2" ht="27.75" customHeight="1" x14ac:dyDescent="0.25">
      <c r="A51" s="1"/>
      <c r="B51" s="1"/>
    </row>
    <row r="52" spans="1:2" ht="27.75" customHeight="1" x14ac:dyDescent="0.25">
      <c r="A52" s="1"/>
      <c r="B52" s="1"/>
    </row>
    <row r="53" spans="1:2" ht="27.75" customHeight="1" x14ac:dyDescent="0.25">
      <c r="A53" s="1"/>
      <c r="B53" s="1"/>
    </row>
    <row r="54" spans="1:2" ht="27.75" customHeight="1" x14ac:dyDescent="0.25">
      <c r="A54" s="1"/>
      <c r="B54" s="1"/>
    </row>
    <row r="55" spans="1:2" ht="27.75" customHeight="1" x14ac:dyDescent="0.25">
      <c r="A55" s="1"/>
      <c r="B55" s="1"/>
    </row>
    <row r="56" spans="1:2" ht="27.75" customHeight="1" x14ac:dyDescent="0.25">
      <c r="A56" s="1"/>
      <c r="B56" s="1"/>
    </row>
    <row r="57" spans="1:2" ht="27.75" customHeight="1" x14ac:dyDescent="0.25">
      <c r="A57" s="1"/>
      <c r="B57" s="1"/>
    </row>
    <row r="58" spans="1:2" ht="27.75" customHeight="1" x14ac:dyDescent="0.25">
      <c r="A58" s="1"/>
      <c r="B58" s="1"/>
    </row>
    <row r="59" spans="1:2" ht="27.75" customHeight="1" x14ac:dyDescent="0.25">
      <c r="A59" s="1"/>
      <c r="B59" s="1"/>
    </row>
    <row r="60" spans="1:2" ht="27.75" customHeight="1" x14ac:dyDescent="0.25">
      <c r="A60" s="1"/>
      <c r="B60" s="1"/>
    </row>
    <row r="61" spans="1:2" ht="27.75" customHeight="1" x14ac:dyDescent="0.25">
      <c r="A61" s="1"/>
      <c r="B61" s="1"/>
    </row>
    <row r="62" spans="1:2" ht="27.75" customHeight="1" x14ac:dyDescent="0.25">
      <c r="A62" s="1"/>
      <c r="B62" s="1"/>
    </row>
    <row r="63" spans="1:2" ht="27.75" customHeight="1" x14ac:dyDescent="0.25">
      <c r="A63" s="1"/>
      <c r="B63" s="1"/>
    </row>
    <row r="64" spans="1:2" ht="27.75" customHeight="1" x14ac:dyDescent="0.25">
      <c r="A64" s="1"/>
      <c r="B64" s="1"/>
    </row>
    <row r="65" spans="1:2" ht="27.75" customHeight="1" x14ac:dyDescent="0.25">
      <c r="A65" s="1"/>
      <c r="B65" s="1"/>
    </row>
    <row r="66" spans="1:2" ht="27.75" customHeight="1" x14ac:dyDescent="0.25">
      <c r="A66" s="1"/>
      <c r="B66" s="1"/>
    </row>
    <row r="67" spans="1:2" ht="27.75" customHeight="1" x14ac:dyDescent="0.25">
      <c r="A67" s="1"/>
      <c r="B67" s="1"/>
    </row>
    <row r="68" spans="1:2" ht="27.75" customHeight="1" x14ac:dyDescent="0.25">
      <c r="A68" s="1"/>
      <c r="B68" s="1"/>
    </row>
    <row r="69" spans="1:2" ht="27.75" customHeight="1" x14ac:dyDescent="0.25">
      <c r="A69" s="1"/>
      <c r="B69" s="1"/>
    </row>
    <row r="70" spans="1:2" ht="27.75" customHeight="1" x14ac:dyDescent="0.25">
      <c r="A70" s="1"/>
      <c r="B70" s="1"/>
    </row>
    <row r="71" spans="1:2" ht="27.75" customHeight="1" x14ac:dyDescent="0.25">
      <c r="A71" s="1"/>
      <c r="B71" s="1"/>
    </row>
    <row r="72" spans="1:2" ht="27.75" customHeight="1" x14ac:dyDescent="0.25">
      <c r="A72" s="1"/>
      <c r="B72" s="1"/>
    </row>
    <row r="73" spans="1:2" ht="27.75" customHeight="1" x14ac:dyDescent="0.25">
      <c r="A73" s="1"/>
      <c r="B73" s="1"/>
    </row>
    <row r="74" spans="1:2" ht="27.75" customHeight="1" x14ac:dyDescent="0.25">
      <c r="A74" s="1"/>
      <c r="B74" s="1"/>
    </row>
    <row r="75" spans="1:2" ht="27.75" customHeight="1" x14ac:dyDescent="0.25">
      <c r="A75" s="1"/>
      <c r="B75" s="1"/>
    </row>
    <row r="76" spans="1:2" ht="27.75" customHeight="1" x14ac:dyDescent="0.25">
      <c r="A76" s="1"/>
      <c r="B76" s="1"/>
    </row>
    <row r="77" spans="1:2" ht="27.75" customHeight="1" x14ac:dyDescent="0.25">
      <c r="A77" s="1"/>
      <c r="B77" s="1"/>
    </row>
    <row r="78" spans="1:2" ht="27.75" customHeight="1" x14ac:dyDescent="0.25">
      <c r="A78" s="1"/>
      <c r="B78" s="1"/>
    </row>
    <row r="79" spans="1:2" ht="27.75" customHeight="1" x14ac:dyDescent="0.25">
      <c r="A79" s="1"/>
      <c r="B79" s="1"/>
    </row>
    <row r="80" spans="1:2" ht="27.75" customHeight="1" x14ac:dyDescent="0.25">
      <c r="A80" s="1"/>
      <c r="B80" s="1"/>
    </row>
    <row r="81" spans="1:2" ht="27.75" customHeight="1" x14ac:dyDescent="0.25">
      <c r="A81" s="1"/>
      <c r="B81" s="1"/>
    </row>
    <row r="82" spans="1:2" ht="27.75" customHeight="1" x14ac:dyDescent="0.25">
      <c r="A82" s="1"/>
      <c r="B82" s="1"/>
    </row>
    <row r="83" spans="1:2" ht="27.75" customHeight="1" x14ac:dyDescent="0.25">
      <c r="A83" s="1"/>
      <c r="B83" s="1"/>
    </row>
    <row r="84" spans="1:2" ht="27.75" customHeight="1" x14ac:dyDescent="0.25">
      <c r="A84" s="1"/>
      <c r="B84" s="1"/>
    </row>
    <row r="85" spans="1:2" ht="27.75" customHeight="1" x14ac:dyDescent="0.25">
      <c r="A85" s="1"/>
      <c r="B85" s="1"/>
    </row>
    <row r="86" spans="1:2" ht="27.75" customHeight="1" x14ac:dyDescent="0.25">
      <c r="A86" s="1"/>
      <c r="B86" s="1"/>
    </row>
    <row r="87" spans="1:2" ht="27.75" customHeight="1" x14ac:dyDescent="0.25">
      <c r="A87" s="1"/>
      <c r="B87" s="1"/>
    </row>
    <row r="88" spans="1:2" ht="27.75" customHeight="1" x14ac:dyDescent="0.25">
      <c r="A88" s="1"/>
      <c r="B88" s="1"/>
    </row>
    <row r="89" spans="1:2" ht="27.75" customHeight="1" x14ac:dyDescent="0.25">
      <c r="A89" s="1"/>
      <c r="B89" s="1"/>
    </row>
    <row r="90" spans="1:2" ht="27.75" customHeight="1" x14ac:dyDescent="0.25">
      <c r="A90" s="1"/>
      <c r="B90" s="1"/>
    </row>
    <row r="91" spans="1:2" ht="27.75" customHeight="1" x14ac:dyDescent="0.25">
      <c r="A91" s="1"/>
      <c r="B91" s="1"/>
    </row>
    <row r="92" spans="1:2" ht="27.75" customHeight="1" x14ac:dyDescent="0.25">
      <c r="A92" s="1"/>
      <c r="B92" s="1"/>
    </row>
    <row r="93" spans="1:2" ht="27.75" customHeight="1" x14ac:dyDescent="0.25">
      <c r="A93" s="1"/>
      <c r="B93" s="1"/>
    </row>
    <row r="94" spans="1:2" ht="27.75" customHeight="1" x14ac:dyDescent="0.25">
      <c r="A94" s="1"/>
      <c r="B94" s="1"/>
    </row>
    <row r="95" spans="1:2" ht="27.75" customHeight="1" x14ac:dyDescent="0.25">
      <c r="A95" s="1"/>
      <c r="B95" s="1"/>
    </row>
    <row r="96" spans="1:2" ht="27.75" customHeight="1" x14ac:dyDescent="0.25">
      <c r="A96" s="1"/>
      <c r="B96" s="1"/>
    </row>
    <row r="97" spans="1:2" ht="27.75" customHeight="1" x14ac:dyDescent="0.25">
      <c r="A97" s="1"/>
      <c r="B97" s="1"/>
    </row>
    <row r="98" spans="1:2" ht="27.75" customHeight="1" x14ac:dyDescent="0.25">
      <c r="A98" s="1"/>
      <c r="B98" s="1"/>
    </row>
    <row r="99" spans="1:2" ht="27.75" customHeight="1" x14ac:dyDescent="0.25">
      <c r="A99" s="1"/>
      <c r="B99" s="1"/>
    </row>
    <row r="100" spans="1:2" ht="27.75" customHeight="1" x14ac:dyDescent="0.25">
      <c r="A100" s="1"/>
      <c r="B100" s="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685C8-A2D3-4D0B-874B-9A9DAA5D7719}">
  <sheetPr codeName="Planilha14"/>
  <dimension ref="A1:Z100"/>
  <sheetViews>
    <sheetView showGridLines="0" showRowColHeaders="0" workbookViewId="0">
      <selection activeCell="L19" sqref="L19"/>
    </sheetView>
  </sheetViews>
  <sheetFormatPr defaultColWidth="14.85546875" defaultRowHeight="27.75" customHeight="1" x14ac:dyDescent="0.25"/>
  <cols>
    <col min="1" max="2" width="14.85546875" style="2"/>
    <col min="3" max="10" width="21.28515625" style="2" customWidth="1"/>
    <col min="11" max="16384" width="14.85546875" style="2"/>
  </cols>
  <sheetData>
    <row r="1" spans="1:26" ht="32.2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27.75" customHeight="1" x14ac:dyDescent="0.25">
      <c r="A2" s="1"/>
      <c r="B2" s="1"/>
    </row>
    <row r="3" spans="1:26" ht="27.75" customHeight="1" x14ac:dyDescent="0.25">
      <c r="A3" s="1"/>
      <c r="B3" s="1"/>
      <c r="C3" s="10" t="s">
        <v>23</v>
      </c>
      <c r="E3" s="10">
        <v>1</v>
      </c>
      <c r="F3" s="10">
        <v>2</v>
      </c>
      <c r="G3" s="10">
        <v>3</v>
      </c>
      <c r="H3" s="10">
        <v>4</v>
      </c>
      <c r="I3" s="10">
        <v>5</v>
      </c>
    </row>
    <row r="4" spans="1:26" ht="27.75" customHeight="1" x14ac:dyDescent="0.25">
      <c r="A4" s="1"/>
      <c r="B4" s="1"/>
      <c r="D4" s="8"/>
      <c r="E4" s="9" t="s">
        <v>0</v>
      </c>
      <c r="F4" s="9" t="s">
        <v>1</v>
      </c>
      <c r="G4" s="9" t="s">
        <v>2</v>
      </c>
      <c r="H4" s="9" t="s">
        <v>3</v>
      </c>
      <c r="I4" s="9" t="s">
        <v>4</v>
      </c>
    </row>
    <row r="5" spans="1:26" ht="27.75" customHeight="1" x14ac:dyDescent="0.25">
      <c r="A5" s="1"/>
      <c r="B5" s="1"/>
      <c r="C5" s="10">
        <v>11</v>
      </c>
      <c r="D5" s="6">
        <v>0.79166666666666663</v>
      </c>
      <c r="E5" s="7" t="str">
        <f>IFERROR(INDEX(Tabela2[[Disciplina]:[Disciplina]],MATCH($C$3&amp;E$3&amp;$C5,Tabela2[[aux]:[aux]],0)),"-")</f>
        <v>-</v>
      </c>
      <c r="F5" s="7" t="str">
        <f>IFERROR(INDEX(Tabela2[[Disciplina]:[Disciplina]],MATCH($C$3&amp;F$3&amp;$C5,Tabela2[[aux]:[aux]],0)),"-")</f>
        <v>XMCO01S</v>
      </c>
      <c r="G5" s="7" t="str">
        <f>IFERROR(INDEX(Tabela2[[Disciplina]:[Disciplina]],MATCH($C$3&amp;G$3&amp;$C5,Tabela2[[aux]:[aux]],0)),"-")</f>
        <v>-</v>
      </c>
      <c r="H5" s="7" t="str">
        <f>IFERROR(INDEX(Tabela2[[Disciplina]:[Disciplina]],MATCH($C$3&amp;H$3&amp;$C5,Tabela2[[aux]:[aux]],0)),"-")</f>
        <v>-</v>
      </c>
      <c r="I5" s="7" t="str">
        <f>IFERROR(INDEX(Tabela2[[Disciplina]:[Disciplina]],MATCH($C$3&amp;I$3&amp;$C5,Tabela2[[aux]:[aux]],0)),"-")</f>
        <v>-</v>
      </c>
    </row>
    <row r="6" spans="1:26" ht="27.75" customHeight="1" x14ac:dyDescent="0.25">
      <c r="A6" s="1"/>
      <c r="B6" s="1"/>
      <c r="C6" s="10">
        <v>12</v>
      </c>
      <c r="D6" s="3">
        <v>0.82638888888888884</v>
      </c>
      <c r="E6" s="7" t="str">
        <f>IFERROR(INDEX(Tabela2[[Disciplina]:[Disciplina]],MATCH($C$3&amp;E$3&amp;$C6,Tabela2[[aux]:[aux]],0)),"-")</f>
        <v>SDES06S</v>
      </c>
      <c r="F6" s="7" t="str">
        <f>IFERROR(INDEX(Tabela2[[Disciplina]:[Disciplina]],MATCH($C$3&amp;F$3&amp;$C6,Tabela2[[aux]:[aux]],0)),"-")</f>
        <v>XMCO01S</v>
      </c>
      <c r="G6" s="7" t="str">
        <f>IFERROR(INDEX(Tabela2[[Disciplina]:[Disciplina]],MATCH($C$3&amp;G$3&amp;$C6,Tabela2[[aux]:[aux]],0)),"-")</f>
        <v>-</v>
      </c>
      <c r="H6" s="7" t="str">
        <f>IFERROR(INDEX(Tabela2[[Disciplina]:[Disciplina]],MATCH($C$3&amp;H$3&amp;$C6,Tabela2[[aux]:[aux]],0)),"-")</f>
        <v>IEPG10S</v>
      </c>
      <c r="I6" s="7" t="str">
        <f>IFERROR(INDEX(Tabela2[[Disciplina]:[Disciplina]],MATCH($C$3&amp;I$3&amp;$C6,Tabela2[[aux]:[aux]],0)),"-")</f>
        <v>IEPG10S</v>
      </c>
    </row>
    <row r="7" spans="1:26" ht="27.75" customHeight="1" x14ac:dyDescent="0.25">
      <c r="A7" s="1"/>
      <c r="B7" s="1"/>
      <c r="C7" s="10">
        <v>13</v>
      </c>
      <c r="D7" s="3">
        <v>0.875</v>
      </c>
      <c r="E7" s="7" t="str">
        <f>IFERROR(INDEX(Tabela2[[Disciplina]:[Disciplina]],MATCH($C$3&amp;E$3&amp;$C7,Tabela2[[aux]:[aux]],0)),"-")</f>
        <v>SDES06S</v>
      </c>
      <c r="F7" s="7" t="str">
        <f>IFERROR(INDEX(Tabela2[[Disciplina]:[Disciplina]],MATCH($C$3&amp;F$3&amp;$C7,Tabela2[[aux]:[aux]],0)),"-")</f>
        <v>SDES06S</v>
      </c>
      <c r="G7" s="7" t="str">
        <f>IFERROR(INDEX(Tabela2[[Disciplina]:[Disciplina]],MATCH($C$3&amp;G$3&amp;$C7,Tabela2[[aux]:[aux]],0)),"-")</f>
        <v>XMCO01S</v>
      </c>
      <c r="H7" s="7" t="str">
        <f>IFERROR(INDEX(Tabela2[[Disciplina]:[Disciplina]],MATCH($C$3&amp;H$3&amp;$C7,Tabela2[[aux]:[aux]],0)),"-")</f>
        <v>IEPG10S</v>
      </c>
      <c r="I7" s="7" t="str">
        <f>IFERROR(INDEX(Tabela2[[Disciplina]:[Disciplina]],MATCH($C$3&amp;I$3&amp;$C7,Tabela2[[aux]:[aux]],0)),"-")</f>
        <v>-</v>
      </c>
    </row>
    <row r="8" spans="1:26" ht="27.75" customHeight="1" x14ac:dyDescent="0.25">
      <c r="A8" s="1"/>
      <c r="B8" s="1"/>
      <c r="C8" s="10">
        <v>14</v>
      </c>
      <c r="D8" s="3">
        <v>0.90972222222222221</v>
      </c>
      <c r="E8" s="7" t="str">
        <f>IFERROR(INDEX(Tabela2[[Disciplina]:[Disciplina]],MATCH($C$3&amp;E$3&amp;$C8,Tabela2[[aux]:[aux]],0)),"-")</f>
        <v>-</v>
      </c>
      <c r="F8" s="7" t="str">
        <f>IFERROR(INDEX(Tabela2[[Disciplina]:[Disciplina]],MATCH($C$3&amp;F$3&amp;$C8,Tabela2[[aux]:[aux]],0)),"-")</f>
        <v>SDES06S</v>
      </c>
      <c r="G8" s="7" t="str">
        <f>IFERROR(INDEX(Tabela2[[Disciplina]:[Disciplina]],MATCH($C$3&amp;G$3&amp;$C8,Tabela2[[aux]:[aux]],0)),"-")</f>
        <v>XMCO01S</v>
      </c>
      <c r="H8" s="7" t="str">
        <f>IFERROR(INDEX(Tabela2[[Disciplina]:[Disciplina]],MATCH($C$3&amp;H$3&amp;$C8,Tabela2[[aux]:[aux]],0)),"-")</f>
        <v>-</v>
      </c>
      <c r="I8" s="7" t="str">
        <f>IFERROR(INDEX(Tabela2[[Disciplina]:[Disciplina]],MATCH($C$3&amp;I$3&amp;$C8,Tabela2[[aux]:[aux]],0)),"-")</f>
        <v>-</v>
      </c>
    </row>
    <row r="9" spans="1:26" ht="27.75" customHeight="1" x14ac:dyDescent="0.25">
      <c r="A9" s="1"/>
      <c r="B9" s="1"/>
      <c r="C9" s="10">
        <v>15</v>
      </c>
      <c r="D9" s="3">
        <v>0.94444444444444442</v>
      </c>
      <c r="E9" s="7" t="str">
        <f>IFERROR(INDEX(Tabela2[[Disciplina]:[Disciplina]],MATCH($C$3&amp;E$3&amp;$C9,Tabela2[[aux]:[aux]],0)),"-")</f>
        <v>-</v>
      </c>
      <c r="F9" s="7" t="str">
        <f>IFERROR(INDEX(Tabela2[[Disciplina]:[Disciplina]],MATCH($C$3&amp;F$3&amp;$C9,Tabela2[[aux]:[aux]],0)),"-")</f>
        <v>-</v>
      </c>
      <c r="G9" s="7" t="str">
        <f>IFERROR(INDEX(Tabela2[[Disciplina]:[Disciplina]],MATCH($C$3&amp;G$3&amp;$C9,Tabela2[[aux]:[aux]],0)),"-")</f>
        <v>-</v>
      </c>
      <c r="H9" s="7" t="str">
        <f>IFERROR(INDEX(Tabela2[[Disciplina]:[Disciplina]],MATCH($C$3&amp;H$3&amp;$C9,Tabela2[[aux]:[aux]],0)),"-")</f>
        <v>-</v>
      </c>
      <c r="I9" s="7" t="str">
        <f>IFERROR(INDEX(Tabela2[[Disciplina]:[Disciplina]],MATCH($C$3&amp;I$3&amp;$C9,Tabela2[[aux]:[aux]],0)),"-")</f>
        <v>-</v>
      </c>
    </row>
    <row r="10" spans="1:26" ht="9" customHeight="1" x14ac:dyDescent="0.25">
      <c r="A10" s="1"/>
      <c r="B10" s="1"/>
      <c r="C10" s="10"/>
    </row>
    <row r="11" spans="1:26" ht="27.75" customHeight="1" x14ac:dyDescent="0.25">
      <c r="A11" s="1"/>
      <c r="B11" s="1"/>
      <c r="C11" s="10"/>
    </row>
    <row r="12" spans="1:26" ht="27.75" customHeight="1" x14ac:dyDescent="0.25">
      <c r="A12" s="1"/>
      <c r="B12" s="1"/>
      <c r="C12" s="10"/>
    </row>
    <row r="13" spans="1:26" ht="27.75" customHeight="1" x14ac:dyDescent="0.25">
      <c r="A13" s="1"/>
      <c r="B13" s="1"/>
      <c r="C13" s="10"/>
    </row>
    <row r="14" spans="1:26" ht="27.75" customHeight="1" x14ac:dyDescent="0.25">
      <c r="A14" s="1"/>
      <c r="B14" s="1"/>
      <c r="C14" s="10"/>
    </row>
    <row r="15" spans="1:26" ht="27.75" customHeight="1" x14ac:dyDescent="0.25">
      <c r="A15" s="1"/>
      <c r="B15" s="1"/>
      <c r="C15" s="10"/>
    </row>
    <row r="16" spans="1:26" ht="27.75" customHeight="1" x14ac:dyDescent="0.25">
      <c r="A16" s="1"/>
      <c r="B16" s="1"/>
    </row>
    <row r="17" spans="1:2" ht="27.75" customHeight="1" x14ac:dyDescent="0.25">
      <c r="A17" s="1"/>
      <c r="B17" s="1"/>
    </row>
    <row r="18" spans="1:2" ht="27.75" customHeight="1" x14ac:dyDescent="0.25">
      <c r="A18" s="1"/>
      <c r="B18" s="1"/>
    </row>
    <row r="19" spans="1:2" ht="27.75" customHeight="1" x14ac:dyDescent="0.25">
      <c r="A19" s="1"/>
      <c r="B19" s="1"/>
    </row>
    <row r="20" spans="1:2" ht="27.75" customHeight="1" x14ac:dyDescent="0.25">
      <c r="A20" s="1"/>
      <c r="B20" s="1"/>
    </row>
    <row r="21" spans="1:2" ht="27.75" customHeight="1" x14ac:dyDescent="0.25">
      <c r="A21" s="1"/>
      <c r="B21" s="1"/>
    </row>
    <row r="22" spans="1:2" ht="27.75" customHeight="1" x14ac:dyDescent="0.25">
      <c r="A22" s="1"/>
      <c r="B22" s="1"/>
    </row>
    <row r="23" spans="1:2" ht="27.75" customHeight="1" x14ac:dyDescent="0.25">
      <c r="A23" s="1"/>
      <c r="B23" s="1"/>
    </row>
    <row r="24" spans="1:2" ht="27.75" customHeight="1" x14ac:dyDescent="0.25">
      <c r="A24" s="1"/>
      <c r="B24" s="1"/>
    </row>
    <row r="25" spans="1:2" ht="27.75" customHeight="1" x14ac:dyDescent="0.25">
      <c r="A25" s="1"/>
      <c r="B25" s="1"/>
    </row>
    <row r="26" spans="1:2" ht="27.75" customHeight="1" x14ac:dyDescent="0.25">
      <c r="A26" s="1"/>
      <c r="B26" s="1"/>
    </row>
    <row r="27" spans="1:2" ht="27.75" customHeight="1" x14ac:dyDescent="0.25">
      <c r="A27" s="1"/>
      <c r="B27" s="1"/>
    </row>
    <row r="28" spans="1:2" ht="27.75" customHeight="1" x14ac:dyDescent="0.25">
      <c r="A28" s="1"/>
      <c r="B28" s="1"/>
    </row>
    <row r="29" spans="1:2" ht="27.75" customHeight="1" x14ac:dyDescent="0.25">
      <c r="A29" s="1"/>
      <c r="B29" s="1"/>
    </row>
    <row r="30" spans="1:2" ht="27.75" customHeight="1" x14ac:dyDescent="0.25">
      <c r="A30" s="1"/>
      <c r="B30" s="1"/>
    </row>
    <row r="31" spans="1:2" ht="27.75" customHeight="1" x14ac:dyDescent="0.25">
      <c r="A31" s="1"/>
      <c r="B31" s="1"/>
    </row>
    <row r="32" spans="1:2" ht="27.75" customHeight="1" x14ac:dyDescent="0.25">
      <c r="A32" s="1"/>
      <c r="B32" s="1"/>
    </row>
    <row r="33" spans="1:2" ht="27.75" customHeight="1" x14ac:dyDescent="0.25">
      <c r="A33" s="1"/>
      <c r="B33" s="1"/>
    </row>
    <row r="34" spans="1:2" ht="27.75" customHeight="1" x14ac:dyDescent="0.25">
      <c r="A34" s="1"/>
      <c r="B34" s="1"/>
    </row>
    <row r="35" spans="1:2" ht="27.75" customHeight="1" x14ac:dyDescent="0.25">
      <c r="A35" s="1"/>
      <c r="B35" s="1"/>
    </row>
    <row r="36" spans="1:2" ht="27.75" customHeight="1" x14ac:dyDescent="0.25">
      <c r="A36" s="1"/>
      <c r="B36" s="1"/>
    </row>
    <row r="37" spans="1:2" ht="27.75" customHeight="1" x14ac:dyDescent="0.25">
      <c r="A37" s="1"/>
      <c r="B37" s="1"/>
    </row>
    <row r="38" spans="1:2" ht="27.75" customHeight="1" x14ac:dyDescent="0.25">
      <c r="A38" s="1"/>
      <c r="B38" s="1"/>
    </row>
    <row r="39" spans="1:2" ht="27.75" customHeight="1" x14ac:dyDescent="0.25">
      <c r="A39" s="1"/>
      <c r="B39" s="1"/>
    </row>
    <row r="40" spans="1:2" ht="27.75" customHeight="1" x14ac:dyDescent="0.25">
      <c r="A40" s="1"/>
      <c r="B40" s="1"/>
    </row>
    <row r="41" spans="1:2" ht="27.75" customHeight="1" x14ac:dyDescent="0.25">
      <c r="A41" s="1"/>
      <c r="B41" s="1"/>
    </row>
    <row r="42" spans="1:2" ht="27.75" customHeight="1" x14ac:dyDescent="0.25">
      <c r="A42" s="1"/>
      <c r="B42" s="1"/>
    </row>
    <row r="43" spans="1:2" ht="27.75" customHeight="1" x14ac:dyDescent="0.25">
      <c r="A43" s="1"/>
      <c r="B43" s="1"/>
    </row>
    <row r="44" spans="1:2" ht="27.75" customHeight="1" x14ac:dyDescent="0.25">
      <c r="A44" s="1"/>
      <c r="B44" s="1"/>
    </row>
    <row r="45" spans="1:2" ht="27.75" customHeight="1" x14ac:dyDescent="0.25">
      <c r="A45" s="1"/>
      <c r="B45" s="1"/>
    </row>
    <row r="46" spans="1:2" ht="27.75" customHeight="1" x14ac:dyDescent="0.25">
      <c r="A46" s="1"/>
      <c r="B46" s="1"/>
    </row>
    <row r="47" spans="1:2" ht="27.75" customHeight="1" x14ac:dyDescent="0.25">
      <c r="A47" s="1"/>
      <c r="B47" s="1"/>
    </row>
    <row r="48" spans="1:2" ht="27.75" customHeight="1" x14ac:dyDescent="0.25">
      <c r="A48" s="1"/>
      <c r="B48" s="1"/>
    </row>
    <row r="49" spans="1:2" ht="27.75" customHeight="1" x14ac:dyDescent="0.25">
      <c r="A49" s="1"/>
      <c r="B49" s="1"/>
    </row>
    <row r="50" spans="1:2" ht="27.75" customHeight="1" x14ac:dyDescent="0.25">
      <c r="A50" s="1"/>
      <c r="B50" s="1"/>
    </row>
    <row r="51" spans="1:2" ht="27.75" customHeight="1" x14ac:dyDescent="0.25">
      <c r="A51" s="1"/>
      <c r="B51" s="1"/>
    </row>
    <row r="52" spans="1:2" ht="27.75" customHeight="1" x14ac:dyDescent="0.25">
      <c r="A52" s="1"/>
      <c r="B52" s="1"/>
    </row>
    <row r="53" spans="1:2" ht="27.75" customHeight="1" x14ac:dyDescent="0.25">
      <c r="A53" s="1"/>
      <c r="B53" s="1"/>
    </row>
    <row r="54" spans="1:2" ht="27.75" customHeight="1" x14ac:dyDescent="0.25">
      <c r="A54" s="1"/>
      <c r="B54" s="1"/>
    </row>
    <row r="55" spans="1:2" ht="27.75" customHeight="1" x14ac:dyDescent="0.25">
      <c r="A55" s="1"/>
      <c r="B55" s="1"/>
    </row>
    <row r="56" spans="1:2" ht="27.75" customHeight="1" x14ac:dyDescent="0.25">
      <c r="A56" s="1"/>
      <c r="B56" s="1"/>
    </row>
    <row r="57" spans="1:2" ht="27.75" customHeight="1" x14ac:dyDescent="0.25">
      <c r="A57" s="1"/>
      <c r="B57" s="1"/>
    </row>
    <row r="58" spans="1:2" ht="27.75" customHeight="1" x14ac:dyDescent="0.25">
      <c r="A58" s="1"/>
      <c r="B58" s="1"/>
    </row>
    <row r="59" spans="1:2" ht="27.75" customHeight="1" x14ac:dyDescent="0.25">
      <c r="A59" s="1"/>
      <c r="B59" s="1"/>
    </row>
    <row r="60" spans="1:2" ht="27.75" customHeight="1" x14ac:dyDescent="0.25">
      <c r="A60" s="1"/>
      <c r="B60" s="1"/>
    </row>
    <row r="61" spans="1:2" ht="27.75" customHeight="1" x14ac:dyDescent="0.25">
      <c r="A61" s="1"/>
      <c r="B61" s="1"/>
    </row>
    <row r="62" spans="1:2" ht="27.75" customHeight="1" x14ac:dyDescent="0.25">
      <c r="A62" s="1"/>
      <c r="B62" s="1"/>
    </row>
    <row r="63" spans="1:2" ht="27.75" customHeight="1" x14ac:dyDescent="0.25">
      <c r="A63" s="1"/>
      <c r="B63" s="1"/>
    </row>
    <row r="64" spans="1:2" ht="27.75" customHeight="1" x14ac:dyDescent="0.25">
      <c r="A64" s="1"/>
      <c r="B64" s="1"/>
    </row>
    <row r="65" spans="1:2" ht="27.75" customHeight="1" x14ac:dyDescent="0.25">
      <c r="A65" s="1"/>
      <c r="B65" s="1"/>
    </row>
    <row r="66" spans="1:2" ht="27.75" customHeight="1" x14ac:dyDescent="0.25">
      <c r="A66" s="1"/>
      <c r="B66" s="1"/>
    </row>
    <row r="67" spans="1:2" ht="27.75" customHeight="1" x14ac:dyDescent="0.25">
      <c r="A67" s="1"/>
      <c r="B67" s="1"/>
    </row>
    <row r="68" spans="1:2" ht="27.75" customHeight="1" x14ac:dyDescent="0.25">
      <c r="A68" s="1"/>
      <c r="B68" s="1"/>
    </row>
    <row r="69" spans="1:2" ht="27.75" customHeight="1" x14ac:dyDescent="0.25">
      <c r="A69" s="1"/>
      <c r="B69" s="1"/>
    </row>
    <row r="70" spans="1:2" ht="27.75" customHeight="1" x14ac:dyDescent="0.25">
      <c r="A70" s="1"/>
      <c r="B70" s="1"/>
    </row>
    <row r="71" spans="1:2" ht="27.75" customHeight="1" x14ac:dyDescent="0.25">
      <c r="A71" s="1"/>
      <c r="B71" s="1"/>
    </row>
    <row r="72" spans="1:2" ht="27.75" customHeight="1" x14ac:dyDescent="0.25">
      <c r="A72" s="1"/>
      <c r="B72" s="1"/>
    </row>
    <row r="73" spans="1:2" ht="27.75" customHeight="1" x14ac:dyDescent="0.25">
      <c r="A73" s="1"/>
      <c r="B73" s="1"/>
    </row>
    <row r="74" spans="1:2" ht="27.75" customHeight="1" x14ac:dyDescent="0.25">
      <c r="A74" s="1"/>
      <c r="B74" s="1"/>
    </row>
    <row r="75" spans="1:2" ht="27.75" customHeight="1" x14ac:dyDescent="0.25">
      <c r="A75" s="1"/>
      <c r="B75" s="1"/>
    </row>
    <row r="76" spans="1:2" ht="27.75" customHeight="1" x14ac:dyDescent="0.25">
      <c r="A76" s="1"/>
      <c r="B76" s="1"/>
    </row>
    <row r="77" spans="1:2" ht="27.75" customHeight="1" x14ac:dyDescent="0.25">
      <c r="A77" s="1"/>
      <c r="B77" s="1"/>
    </row>
    <row r="78" spans="1:2" ht="27.75" customHeight="1" x14ac:dyDescent="0.25">
      <c r="A78" s="1"/>
      <c r="B78" s="1"/>
    </row>
    <row r="79" spans="1:2" ht="27.75" customHeight="1" x14ac:dyDescent="0.25">
      <c r="A79" s="1"/>
      <c r="B79" s="1"/>
    </row>
    <row r="80" spans="1:2" ht="27.75" customHeight="1" x14ac:dyDescent="0.25">
      <c r="A80" s="1"/>
      <c r="B80" s="1"/>
    </row>
    <row r="81" spans="1:2" ht="27.75" customHeight="1" x14ac:dyDescent="0.25">
      <c r="A81" s="1"/>
      <c r="B81" s="1"/>
    </row>
    <row r="82" spans="1:2" ht="27.75" customHeight="1" x14ac:dyDescent="0.25">
      <c r="A82" s="1"/>
      <c r="B82" s="1"/>
    </row>
    <row r="83" spans="1:2" ht="27.75" customHeight="1" x14ac:dyDescent="0.25">
      <c r="A83" s="1"/>
      <c r="B83" s="1"/>
    </row>
    <row r="84" spans="1:2" ht="27.75" customHeight="1" x14ac:dyDescent="0.25">
      <c r="A84" s="1"/>
      <c r="B84" s="1"/>
    </row>
    <row r="85" spans="1:2" ht="27.75" customHeight="1" x14ac:dyDescent="0.25">
      <c r="A85" s="1"/>
      <c r="B85" s="1"/>
    </row>
    <row r="86" spans="1:2" ht="27.75" customHeight="1" x14ac:dyDescent="0.25">
      <c r="A86" s="1"/>
      <c r="B86" s="1"/>
    </row>
    <row r="87" spans="1:2" ht="27.75" customHeight="1" x14ac:dyDescent="0.25">
      <c r="A87" s="1"/>
      <c r="B87" s="1"/>
    </row>
    <row r="88" spans="1:2" ht="27.75" customHeight="1" x14ac:dyDescent="0.25">
      <c r="A88" s="1"/>
      <c r="B88" s="1"/>
    </row>
    <row r="89" spans="1:2" ht="27.75" customHeight="1" x14ac:dyDescent="0.25">
      <c r="A89" s="1"/>
      <c r="B89" s="1"/>
    </row>
    <row r="90" spans="1:2" ht="27.75" customHeight="1" x14ac:dyDescent="0.25">
      <c r="A90" s="1"/>
      <c r="B90" s="1"/>
    </row>
    <row r="91" spans="1:2" ht="27.75" customHeight="1" x14ac:dyDescent="0.25">
      <c r="A91" s="1"/>
      <c r="B91" s="1"/>
    </row>
    <row r="92" spans="1:2" ht="27.75" customHeight="1" x14ac:dyDescent="0.25">
      <c r="A92" s="1"/>
      <c r="B92" s="1"/>
    </row>
    <row r="93" spans="1:2" ht="27.75" customHeight="1" x14ac:dyDescent="0.25">
      <c r="A93" s="1"/>
      <c r="B93" s="1"/>
    </row>
    <row r="94" spans="1:2" ht="27.75" customHeight="1" x14ac:dyDescent="0.25">
      <c r="A94" s="1"/>
      <c r="B94" s="1"/>
    </row>
    <row r="95" spans="1:2" ht="27.75" customHeight="1" x14ac:dyDescent="0.25">
      <c r="A95" s="1"/>
      <c r="B95" s="1"/>
    </row>
    <row r="96" spans="1:2" ht="27.75" customHeight="1" x14ac:dyDescent="0.25">
      <c r="A96" s="1"/>
      <c r="B96" s="1"/>
    </row>
    <row r="97" spans="1:2" ht="27.75" customHeight="1" x14ac:dyDescent="0.25">
      <c r="A97" s="1"/>
      <c r="B97" s="1"/>
    </row>
    <row r="98" spans="1:2" ht="27.75" customHeight="1" x14ac:dyDescent="0.25">
      <c r="A98" s="1"/>
      <c r="B98" s="1"/>
    </row>
    <row r="99" spans="1:2" ht="27.75" customHeight="1" x14ac:dyDescent="0.25">
      <c r="A99" s="1"/>
      <c r="B99" s="1"/>
    </row>
    <row r="100" spans="1:2" ht="27.75" customHeight="1" x14ac:dyDescent="0.25">
      <c r="A100" s="1"/>
      <c r="B100" s="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04A8B-4C89-4880-8531-EC174BCE1B79}">
  <sheetPr codeName="Planilha15"/>
  <dimension ref="A1:Z100"/>
  <sheetViews>
    <sheetView showGridLines="0" showRowColHeaders="0" workbookViewId="0">
      <selection activeCell="L19" sqref="L19"/>
    </sheetView>
  </sheetViews>
  <sheetFormatPr defaultColWidth="14.85546875" defaultRowHeight="27.75" customHeight="1" x14ac:dyDescent="0.25"/>
  <cols>
    <col min="1" max="2" width="14.85546875" style="2"/>
    <col min="3" max="10" width="21.28515625" style="2" customWidth="1"/>
    <col min="11" max="16384" width="14.85546875" style="2"/>
  </cols>
  <sheetData>
    <row r="1" spans="1:26" ht="32.2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27.75" customHeight="1" x14ac:dyDescent="0.25">
      <c r="A2" s="1"/>
      <c r="B2" s="1"/>
    </row>
    <row r="3" spans="1:26" ht="27.75" customHeight="1" x14ac:dyDescent="0.25">
      <c r="A3" s="1"/>
      <c r="B3" s="1"/>
      <c r="C3" s="10" t="s">
        <v>24</v>
      </c>
      <c r="E3" s="10">
        <v>1</v>
      </c>
      <c r="F3" s="10">
        <v>2</v>
      </c>
      <c r="G3" s="10">
        <v>3</v>
      </c>
      <c r="H3" s="10">
        <v>4</v>
      </c>
      <c r="I3" s="10">
        <v>5</v>
      </c>
    </row>
    <row r="4" spans="1:26" ht="27.75" customHeight="1" x14ac:dyDescent="0.25">
      <c r="A4" s="1"/>
      <c r="B4" s="1"/>
      <c r="D4" s="8"/>
      <c r="E4" s="9" t="s">
        <v>0</v>
      </c>
      <c r="F4" s="9" t="s">
        <v>1</v>
      </c>
      <c r="G4" s="9" t="s">
        <v>2</v>
      </c>
      <c r="H4" s="9" t="s">
        <v>3</v>
      </c>
      <c r="I4" s="9" t="s">
        <v>4</v>
      </c>
    </row>
    <row r="5" spans="1:26" ht="27.75" customHeight="1" x14ac:dyDescent="0.25">
      <c r="A5" s="1"/>
      <c r="B5" s="1"/>
      <c r="C5" s="10">
        <v>11</v>
      </c>
      <c r="D5" s="6">
        <v>0.79166666666666663</v>
      </c>
      <c r="E5" s="7" t="str">
        <f>IFERROR(INDEX(Tabela2[[Disciplina]:[Disciplina]],MATCH($C$3&amp;E$3&amp;$C5,Tabela2[[aux]:[aux]],0)),"-")</f>
        <v>-</v>
      </c>
      <c r="F5" s="7" t="str">
        <f>IFERROR(INDEX(Tabela2[[Disciplina]:[Disciplina]],MATCH($C$3&amp;F$3&amp;$C5,Tabela2[[aux]:[aux]],0)),"-")</f>
        <v>XAHC02S</v>
      </c>
      <c r="G5" s="7" t="str">
        <f>IFERROR(INDEX(Tabela2[[Disciplina]:[Disciplina]],MATCH($C$3&amp;G$3&amp;$C5,Tabela2[[aux]:[aux]],0)),"-")</f>
        <v>-</v>
      </c>
      <c r="H5" s="7" t="str">
        <f>IFERROR(INDEX(Tabela2[[Disciplina]:[Disciplina]],MATCH($C$3&amp;H$3&amp;$C5,Tabela2[[aux]:[aux]],0)),"-")</f>
        <v>-</v>
      </c>
      <c r="I5" s="7" t="str">
        <f>IFERROR(INDEX(Tabela2[[Disciplina]:[Disciplina]],MATCH($C$3&amp;I$3&amp;$C5,Tabela2[[aux]:[aux]],0)),"-")</f>
        <v>-</v>
      </c>
    </row>
    <row r="6" spans="1:26" ht="27.75" customHeight="1" x14ac:dyDescent="0.25">
      <c r="A6" s="1"/>
      <c r="B6" s="1"/>
      <c r="C6" s="10">
        <v>12</v>
      </c>
      <c r="D6" s="3">
        <v>0.82638888888888884</v>
      </c>
      <c r="E6" s="7" t="str">
        <f>IFERROR(INDEX(Tabela2[[Disciplina]:[Disciplina]],MATCH($C$3&amp;E$3&amp;$C6,Tabela2[[aux]:[aux]],0)),"-")</f>
        <v>-</v>
      </c>
      <c r="F6" s="7" t="str">
        <f>IFERROR(INDEX(Tabela2[[Disciplina]:[Disciplina]],MATCH($C$3&amp;F$3&amp;$C6,Tabela2[[aux]:[aux]],0)),"-")</f>
        <v>XAHC02S</v>
      </c>
      <c r="G6" s="7" t="str">
        <f>IFERROR(INDEX(Tabela2[[Disciplina]:[Disciplina]],MATCH($C$3&amp;G$3&amp;$C6,Tabela2[[aux]:[aux]],0)),"-")</f>
        <v>-</v>
      </c>
      <c r="H6" s="7" t="str">
        <f>IFERROR(INDEX(Tabela2[[Disciplina]:[Disciplina]],MATCH($C$3&amp;H$3&amp;$C6,Tabela2[[aux]:[aux]],0)),"-")</f>
        <v>-</v>
      </c>
      <c r="I6" s="7" t="str">
        <f>IFERROR(INDEX(Tabela2[[Disciplina]:[Disciplina]],MATCH($C$3&amp;I$3&amp;$C6,Tabela2[[aux]:[aux]],0)),"-")</f>
        <v>-</v>
      </c>
    </row>
    <row r="7" spans="1:26" ht="27.75" customHeight="1" x14ac:dyDescent="0.25">
      <c r="A7" s="1"/>
      <c r="B7" s="1"/>
      <c r="C7" s="10">
        <v>13</v>
      </c>
      <c r="D7" s="3">
        <v>0.875</v>
      </c>
      <c r="E7" s="7" t="str">
        <f>IFERROR(INDEX(Tabela2[[Disciplina]:[Disciplina]],MATCH($C$3&amp;E$3&amp;$C7,Tabela2[[aux]:[aux]],0)),"-")</f>
        <v>-</v>
      </c>
      <c r="F7" s="7" t="str">
        <f>IFERROR(INDEX(Tabela2[[Disciplina]:[Disciplina]],MATCH($C$3&amp;F$3&amp;$C7,Tabela2[[aux]:[aux]],0)),"-")</f>
        <v>-</v>
      </c>
      <c r="G7" s="7" t="str">
        <f>IFERROR(INDEX(Tabela2[[Disciplina]:[Disciplina]],MATCH($C$3&amp;G$3&amp;$C7,Tabela2[[aux]:[aux]],0)),"-")</f>
        <v>-</v>
      </c>
      <c r="H7" s="7" t="str">
        <f>IFERROR(INDEX(Tabela2[[Disciplina]:[Disciplina]],MATCH($C$3&amp;H$3&amp;$C7,Tabela2[[aux]:[aux]],0)),"-")</f>
        <v>-</v>
      </c>
      <c r="I7" s="7" t="str">
        <f>IFERROR(INDEX(Tabela2[[Disciplina]:[Disciplina]],MATCH($C$3&amp;I$3&amp;$C7,Tabela2[[aux]:[aux]],0)),"-")</f>
        <v>-</v>
      </c>
    </row>
    <row r="8" spans="1:26" ht="27.75" customHeight="1" x14ac:dyDescent="0.25">
      <c r="A8" s="1"/>
      <c r="B8" s="1"/>
      <c r="C8" s="10">
        <v>14</v>
      </c>
      <c r="D8" s="3">
        <v>0.90972222222222221</v>
      </c>
      <c r="E8" s="7" t="str">
        <f>IFERROR(INDEX(Tabela2[[Disciplina]:[Disciplina]],MATCH($C$3&amp;E$3&amp;$C8,Tabela2[[aux]:[aux]],0)),"-")</f>
        <v>-</v>
      </c>
      <c r="F8" s="7" t="str">
        <f>IFERROR(INDEX(Tabela2[[Disciplina]:[Disciplina]],MATCH($C$3&amp;F$3&amp;$C8,Tabela2[[aux]:[aux]],0)),"-")</f>
        <v>-</v>
      </c>
      <c r="G8" s="7" t="str">
        <f>IFERROR(INDEX(Tabela2[[Disciplina]:[Disciplina]],MATCH($C$3&amp;G$3&amp;$C8,Tabela2[[aux]:[aux]],0)),"-")</f>
        <v>-</v>
      </c>
      <c r="H8" s="7" t="str">
        <f>IFERROR(INDEX(Tabela2[[Disciplina]:[Disciplina]],MATCH($C$3&amp;H$3&amp;$C8,Tabela2[[aux]:[aux]],0)),"-")</f>
        <v>XAHC02S</v>
      </c>
      <c r="I8" s="7" t="str">
        <f>IFERROR(INDEX(Tabela2[[Disciplina]:[Disciplina]],MATCH($C$3&amp;I$3&amp;$C8,Tabela2[[aux]:[aux]],0)),"-")</f>
        <v>-</v>
      </c>
    </row>
    <row r="9" spans="1:26" ht="27.75" customHeight="1" x14ac:dyDescent="0.25">
      <c r="A9" s="1"/>
      <c r="B9" s="1"/>
      <c r="C9" s="10">
        <v>15</v>
      </c>
      <c r="D9" s="3">
        <v>0.94444444444444442</v>
      </c>
      <c r="E9" s="7" t="str">
        <f>IFERROR(INDEX(Tabela2[[Disciplina]:[Disciplina]],MATCH($C$3&amp;E$3&amp;$C9,Tabela2[[aux]:[aux]],0)),"-")</f>
        <v>-</v>
      </c>
      <c r="F9" s="7" t="str">
        <f>IFERROR(INDEX(Tabela2[[Disciplina]:[Disciplina]],MATCH($C$3&amp;F$3&amp;$C9,Tabela2[[aux]:[aux]],0)),"-")</f>
        <v>-</v>
      </c>
      <c r="G9" s="7" t="str">
        <f>IFERROR(INDEX(Tabela2[[Disciplina]:[Disciplina]],MATCH($C$3&amp;G$3&amp;$C9,Tabela2[[aux]:[aux]],0)),"-")</f>
        <v>-</v>
      </c>
      <c r="H9" s="7" t="str">
        <f>IFERROR(INDEX(Tabela2[[Disciplina]:[Disciplina]],MATCH($C$3&amp;H$3&amp;$C9,Tabela2[[aux]:[aux]],0)),"-")</f>
        <v>XAHC02S</v>
      </c>
      <c r="I9" s="7" t="str">
        <f>IFERROR(INDEX(Tabela2[[Disciplina]:[Disciplina]],MATCH($C$3&amp;I$3&amp;$C9,Tabela2[[aux]:[aux]],0)),"-")</f>
        <v>-</v>
      </c>
    </row>
    <row r="10" spans="1:26" ht="9" customHeight="1" x14ac:dyDescent="0.25">
      <c r="A10" s="1"/>
      <c r="B10" s="1"/>
      <c r="C10" s="10"/>
    </row>
    <row r="11" spans="1:26" ht="27.75" customHeight="1" x14ac:dyDescent="0.25">
      <c r="A11" s="1"/>
      <c r="B11" s="1"/>
      <c r="C11" s="10"/>
    </row>
    <row r="12" spans="1:26" ht="27.75" customHeight="1" x14ac:dyDescent="0.25">
      <c r="A12" s="1"/>
      <c r="B12" s="1"/>
      <c r="C12" s="10"/>
    </row>
    <row r="13" spans="1:26" ht="27.75" customHeight="1" x14ac:dyDescent="0.25">
      <c r="A13" s="1"/>
      <c r="B13" s="1"/>
      <c r="C13" s="10"/>
    </row>
    <row r="14" spans="1:26" ht="27.75" customHeight="1" x14ac:dyDescent="0.25">
      <c r="A14" s="1"/>
      <c r="B14" s="1"/>
      <c r="C14" s="10"/>
    </row>
    <row r="15" spans="1:26" ht="27.75" customHeight="1" x14ac:dyDescent="0.25">
      <c r="A15" s="1"/>
      <c r="B15" s="1"/>
      <c r="C15" s="10"/>
    </row>
    <row r="16" spans="1:26" ht="27.75" customHeight="1" x14ac:dyDescent="0.25">
      <c r="A16" s="1"/>
      <c r="B16" s="1"/>
    </row>
    <row r="17" spans="1:2" ht="27.75" customHeight="1" x14ac:dyDescent="0.25">
      <c r="A17" s="1"/>
      <c r="B17" s="1"/>
    </row>
    <row r="18" spans="1:2" ht="27.75" customHeight="1" x14ac:dyDescent="0.25">
      <c r="A18" s="1"/>
      <c r="B18" s="1"/>
    </row>
    <row r="19" spans="1:2" ht="27.75" customHeight="1" x14ac:dyDescent="0.25">
      <c r="A19" s="1"/>
      <c r="B19" s="1"/>
    </row>
    <row r="20" spans="1:2" ht="27.75" customHeight="1" x14ac:dyDescent="0.25">
      <c r="A20" s="1"/>
      <c r="B20" s="1"/>
    </row>
    <row r="21" spans="1:2" ht="27.75" customHeight="1" x14ac:dyDescent="0.25">
      <c r="A21" s="1"/>
      <c r="B21" s="1"/>
    </row>
    <row r="22" spans="1:2" ht="27.75" customHeight="1" x14ac:dyDescent="0.25">
      <c r="A22" s="1"/>
      <c r="B22" s="1"/>
    </row>
    <row r="23" spans="1:2" ht="27.75" customHeight="1" x14ac:dyDescent="0.25">
      <c r="A23" s="1"/>
      <c r="B23" s="1"/>
    </row>
    <row r="24" spans="1:2" ht="27.75" customHeight="1" x14ac:dyDescent="0.25">
      <c r="A24" s="1"/>
      <c r="B24" s="1"/>
    </row>
    <row r="25" spans="1:2" ht="27.75" customHeight="1" x14ac:dyDescent="0.25">
      <c r="A25" s="1"/>
      <c r="B25" s="1"/>
    </row>
    <row r="26" spans="1:2" ht="27.75" customHeight="1" x14ac:dyDescent="0.25">
      <c r="A26" s="1"/>
      <c r="B26" s="1"/>
    </row>
    <row r="27" spans="1:2" ht="27.75" customHeight="1" x14ac:dyDescent="0.25">
      <c r="A27" s="1"/>
      <c r="B27" s="1"/>
    </row>
    <row r="28" spans="1:2" ht="27.75" customHeight="1" x14ac:dyDescent="0.25">
      <c r="A28" s="1"/>
      <c r="B28" s="1"/>
    </row>
    <row r="29" spans="1:2" ht="27.75" customHeight="1" x14ac:dyDescent="0.25">
      <c r="A29" s="1"/>
      <c r="B29" s="1"/>
    </row>
    <row r="30" spans="1:2" ht="27.75" customHeight="1" x14ac:dyDescent="0.25">
      <c r="A30" s="1"/>
      <c r="B30" s="1"/>
    </row>
    <row r="31" spans="1:2" ht="27.75" customHeight="1" x14ac:dyDescent="0.25">
      <c r="A31" s="1"/>
      <c r="B31" s="1"/>
    </row>
    <row r="32" spans="1:2" ht="27.75" customHeight="1" x14ac:dyDescent="0.25">
      <c r="A32" s="1"/>
      <c r="B32" s="1"/>
    </row>
    <row r="33" spans="1:2" ht="27.75" customHeight="1" x14ac:dyDescent="0.25">
      <c r="A33" s="1"/>
      <c r="B33" s="1"/>
    </row>
    <row r="34" spans="1:2" ht="27.75" customHeight="1" x14ac:dyDescent="0.25">
      <c r="A34" s="1"/>
      <c r="B34" s="1"/>
    </row>
    <row r="35" spans="1:2" ht="27.75" customHeight="1" x14ac:dyDescent="0.25">
      <c r="A35" s="1"/>
      <c r="B35" s="1"/>
    </row>
    <row r="36" spans="1:2" ht="27.75" customHeight="1" x14ac:dyDescent="0.25">
      <c r="A36" s="1"/>
      <c r="B36" s="1"/>
    </row>
    <row r="37" spans="1:2" ht="27.75" customHeight="1" x14ac:dyDescent="0.25">
      <c r="A37" s="1"/>
      <c r="B37" s="1"/>
    </row>
    <row r="38" spans="1:2" ht="27.75" customHeight="1" x14ac:dyDescent="0.25">
      <c r="A38" s="1"/>
      <c r="B38" s="1"/>
    </row>
    <row r="39" spans="1:2" ht="27.75" customHeight="1" x14ac:dyDescent="0.25">
      <c r="A39" s="1"/>
      <c r="B39" s="1"/>
    </row>
    <row r="40" spans="1:2" ht="27.75" customHeight="1" x14ac:dyDescent="0.25">
      <c r="A40" s="1"/>
      <c r="B40" s="1"/>
    </row>
    <row r="41" spans="1:2" ht="27.75" customHeight="1" x14ac:dyDescent="0.25">
      <c r="A41" s="1"/>
      <c r="B41" s="1"/>
    </row>
    <row r="42" spans="1:2" ht="27.75" customHeight="1" x14ac:dyDescent="0.25">
      <c r="A42" s="1"/>
      <c r="B42" s="1"/>
    </row>
    <row r="43" spans="1:2" ht="27.75" customHeight="1" x14ac:dyDescent="0.25">
      <c r="A43" s="1"/>
      <c r="B43" s="1"/>
    </row>
    <row r="44" spans="1:2" ht="27.75" customHeight="1" x14ac:dyDescent="0.25">
      <c r="A44" s="1"/>
      <c r="B44" s="1"/>
    </row>
    <row r="45" spans="1:2" ht="27.75" customHeight="1" x14ac:dyDescent="0.25">
      <c r="A45" s="1"/>
      <c r="B45" s="1"/>
    </row>
    <row r="46" spans="1:2" ht="27.75" customHeight="1" x14ac:dyDescent="0.25">
      <c r="A46" s="1"/>
      <c r="B46" s="1"/>
    </row>
    <row r="47" spans="1:2" ht="27.75" customHeight="1" x14ac:dyDescent="0.25">
      <c r="A47" s="1"/>
      <c r="B47" s="1"/>
    </row>
    <row r="48" spans="1:2" ht="27.75" customHeight="1" x14ac:dyDescent="0.25">
      <c r="A48" s="1"/>
      <c r="B48" s="1"/>
    </row>
    <row r="49" spans="1:2" ht="27.75" customHeight="1" x14ac:dyDescent="0.25">
      <c r="A49" s="1"/>
      <c r="B49" s="1"/>
    </row>
    <row r="50" spans="1:2" ht="27.75" customHeight="1" x14ac:dyDescent="0.25">
      <c r="A50" s="1"/>
      <c r="B50" s="1"/>
    </row>
    <row r="51" spans="1:2" ht="27.75" customHeight="1" x14ac:dyDescent="0.25">
      <c r="A51" s="1"/>
      <c r="B51" s="1"/>
    </row>
    <row r="52" spans="1:2" ht="27.75" customHeight="1" x14ac:dyDescent="0.25">
      <c r="A52" s="1"/>
      <c r="B52" s="1"/>
    </row>
    <row r="53" spans="1:2" ht="27.75" customHeight="1" x14ac:dyDescent="0.25">
      <c r="A53" s="1"/>
      <c r="B53" s="1"/>
    </row>
    <row r="54" spans="1:2" ht="27.75" customHeight="1" x14ac:dyDescent="0.25">
      <c r="A54" s="1"/>
      <c r="B54" s="1"/>
    </row>
    <row r="55" spans="1:2" ht="27.75" customHeight="1" x14ac:dyDescent="0.25">
      <c r="A55" s="1"/>
      <c r="B55" s="1"/>
    </row>
    <row r="56" spans="1:2" ht="27.75" customHeight="1" x14ac:dyDescent="0.25">
      <c r="A56" s="1"/>
      <c r="B56" s="1"/>
    </row>
    <row r="57" spans="1:2" ht="27.75" customHeight="1" x14ac:dyDescent="0.25">
      <c r="A57" s="1"/>
      <c r="B57" s="1"/>
    </row>
    <row r="58" spans="1:2" ht="27.75" customHeight="1" x14ac:dyDescent="0.25">
      <c r="A58" s="1"/>
      <c r="B58" s="1"/>
    </row>
    <row r="59" spans="1:2" ht="27.75" customHeight="1" x14ac:dyDescent="0.25">
      <c r="A59" s="1"/>
      <c r="B59" s="1"/>
    </row>
    <row r="60" spans="1:2" ht="27.75" customHeight="1" x14ac:dyDescent="0.25">
      <c r="A60" s="1"/>
      <c r="B60" s="1"/>
    </row>
    <row r="61" spans="1:2" ht="27.75" customHeight="1" x14ac:dyDescent="0.25">
      <c r="A61" s="1"/>
      <c r="B61" s="1"/>
    </row>
    <row r="62" spans="1:2" ht="27.75" customHeight="1" x14ac:dyDescent="0.25">
      <c r="A62" s="1"/>
      <c r="B62" s="1"/>
    </row>
    <row r="63" spans="1:2" ht="27.75" customHeight="1" x14ac:dyDescent="0.25">
      <c r="A63" s="1"/>
      <c r="B63" s="1"/>
    </row>
    <row r="64" spans="1:2" ht="27.75" customHeight="1" x14ac:dyDescent="0.25">
      <c r="A64" s="1"/>
      <c r="B64" s="1"/>
    </row>
    <row r="65" spans="1:2" ht="27.75" customHeight="1" x14ac:dyDescent="0.25">
      <c r="A65" s="1"/>
      <c r="B65" s="1"/>
    </row>
    <row r="66" spans="1:2" ht="27.75" customHeight="1" x14ac:dyDescent="0.25">
      <c r="A66" s="1"/>
      <c r="B66" s="1"/>
    </row>
    <row r="67" spans="1:2" ht="27.75" customHeight="1" x14ac:dyDescent="0.25">
      <c r="A67" s="1"/>
      <c r="B67" s="1"/>
    </row>
    <row r="68" spans="1:2" ht="27.75" customHeight="1" x14ac:dyDescent="0.25">
      <c r="A68" s="1"/>
      <c r="B68" s="1"/>
    </row>
    <row r="69" spans="1:2" ht="27.75" customHeight="1" x14ac:dyDescent="0.25">
      <c r="A69" s="1"/>
      <c r="B69" s="1"/>
    </row>
    <row r="70" spans="1:2" ht="27.75" customHeight="1" x14ac:dyDescent="0.25">
      <c r="A70" s="1"/>
      <c r="B70" s="1"/>
    </row>
    <row r="71" spans="1:2" ht="27.75" customHeight="1" x14ac:dyDescent="0.25">
      <c r="A71" s="1"/>
      <c r="B71" s="1"/>
    </row>
    <row r="72" spans="1:2" ht="27.75" customHeight="1" x14ac:dyDescent="0.25">
      <c r="A72" s="1"/>
      <c r="B72" s="1"/>
    </row>
    <row r="73" spans="1:2" ht="27.75" customHeight="1" x14ac:dyDescent="0.25">
      <c r="A73" s="1"/>
      <c r="B73" s="1"/>
    </row>
    <row r="74" spans="1:2" ht="27.75" customHeight="1" x14ac:dyDescent="0.25">
      <c r="A74" s="1"/>
      <c r="B74" s="1"/>
    </row>
    <row r="75" spans="1:2" ht="27.75" customHeight="1" x14ac:dyDescent="0.25">
      <c r="A75" s="1"/>
      <c r="B75" s="1"/>
    </row>
    <row r="76" spans="1:2" ht="27.75" customHeight="1" x14ac:dyDescent="0.25">
      <c r="A76" s="1"/>
      <c r="B76" s="1"/>
    </row>
    <row r="77" spans="1:2" ht="27.75" customHeight="1" x14ac:dyDescent="0.25">
      <c r="A77" s="1"/>
      <c r="B77" s="1"/>
    </row>
    <row r="78" spans="1:2" ht="27.75" customHeight="1" x14ac:dyDescent="0.25">
      <c r="A78" s="1"/>
      <c r="B78" s="1"/>
    </row>
    <row r="79" spans="1:2" ht="27.75" customHeight="1" x14ac:dyDescent="0.25">
      <c r="A79" s="1"/>
      <c r="B79" s="1"/>
    </row>
    <row r="80" spans="1:2" ht="27.75" customHeight="1" x14ac:dyDescent="0.25">
      <c r="A80" s="1"/>
      <c r="B80" s="1"/>
    </row>
    <row r="81" spans="1:2" ht="27.75" customHeight="1" x14ac:dyDescent="0.25">
      <c r="A81" s="1"/>
      <c r="B81" s="1"/>
    </row>
    <row r="82" spans="1:2" ht="27.75" customHeight="1" x14ac:dyDescent="0.25">
      <c r="A82" s="1"/>
      <c r="B82" s="1"/>
    </row>
    <row r="83" spans="1:2" ht="27.75" customHeight="1" x14ac:dyDescent="0.25">
      <c r="A83" s="1"/>
      <c r="B83" s="1"/>
    </row>
    <row r="84" spans="1:2" ht="27.75" customHeight="1" x14ac:dyDescent="0.25">
      <c r="A84" s="1"/>
      <c r="B84" s="1"/>
    </row>
    <row r="85" spans="1:2" ht="27.75" customHeight="1" x14ac:dyDescent="0.25">
      <c r="A85" s="1"/>
      <c r="B85" s="1"/>
    </row>
    <row r="86" spans="1:2" ht="27.75" customHeight="1" x14ac:dyDescent="0.25">
      <c r="A86" s="1"/>
      <c r="B86" s="1"/>
    </row>
    <row r="87" spans="1:2" ht="27.75" customHeight="1" x14ac:dyDescent="0.25">
      <c r="A87" s="1"/>
      <c r="B87" s="1"/>
    </row>
    <row r="88" spans="1:2" ht="27.75" customHeight="1" x14ac:dyDescent="0.25">
      <c r="A88" s="1"/>
      <c r="B88" s="1"/>
    </row>
    <row r="89" spans="1:2" ht="27.75" customHeight="1" x14ac:dyDescent="0.25">
      <c r="A89" s="1"/>
      <c r="B89" s="1"/>
    </row>
    <row r="90" spans="1:2" ht="27.75" customHeight="1" x14ac:dyDescent="0.25">
      <c r="A90" s="1"/>
      <c r="B90" s="1"/>
    </row>
    <row r="91" spans="1:2" ht="27.75" customHeight="1" x14ac:dyDescent="0.25">
      <c r="A91" s="1"/>
      <c r="B91" s="1"/>
    </row>
    <row r="92" spans="1:2" ht="27.75" customHeight="1" x14ac:dyDescent="0.25">
      <c r="A92" s="1"/>
      <c r="B92" s="1"/>
    </row>
    <row r="93" spans="1:2" ht="27.75" customHeight="1" x14ac:dyDescent="0.25">
      <c r="A93" s="1"/>
      <c r="B93" s="1"/>
    </row>
    <row r="94" spans="1:2" ht="27.75" customHeight="1" x14ac:dyDescent="0.25">
      <c r="A94" s="1"/>
      <c r="B94" s="1"/>
    </row>
    <row r="95" spans="1:2" ht="27.75" customHeight="1" x14ac:dyDescent="0.25">
      <c r="A95" s="1"/>
      <c r="B95" s="1"/>
    </row>
    <row r="96" spans="1:2" ht="27.75" customHeight="1" x14ac:dyDescent="0.25">
      <c r="A96" s="1"/>
      <c r="B96" s="1"/>
    </row>
    <row r="97" spans="1:2" ht="27.75" customHeight="1" x14ac:dyDescent="0.25">
      <c r="A97" s="1"/>
      <c r="B97" s="1"/>
    </row>
    <row r="98" spans="1:2" ht="27.75" customHeight="1" x14ac:dyDescent="0.25">
      <c r="A98" s="1"/>
      <c r="B98" s="1"/>
    </row>
    <row r="99" spans="1:2" ht="27.75" customHeight="1" x14ac:dyDescent="0.25">
      <c r="A99" s="1"/>
      <c r="B99" s="1"/>
    </row>
    <row r="100" spans="1:2" ht="27.75" customHeight="1" x14ac:dyDescent="0.25">
      <c r="A100" s="1"/>
      <c r="B100" s="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F1E92-6B5C-48FC-9B75-0A26ADA03027}">
  <sheetPr codeName="Planilha16"/>
  <dimension ref="A1:Z100"/>
  <sheetViews>
    <sheetView showGridLines="0" showRowColHeaders="0" workbookViewId="0">
      <selection activeCell="L19" sqref="L19"/>
    </sheetView>
  </sheetViews>
  <sheetFormatPr defaultColWidth="14.85546875" defaultRowHeight="27.75" customHeight="1" x14ac:dyDescent="0.25"/>
  <cols>
    <col min="1" max="2" width="14.85546875" style="2"/>
    <col min="3" max="10" width="21.28515625" style="2" customWidth="1"/>
    <col min="11" max="16384" width="14.85546875" style="2"/>
  </cols>
  <sheetData>
    <row r="1" spans="1:26" ht="32.2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27.75" customHeight="1" x14ac:dyDescent="0.25">
      <c r="A2" s="1"/>
      <c r="B2" s="1"/>
    </row>
    <row r="3" spans="1:26" ht="27.75" customHeight="1" x14ac:dyDescent="0.25">
      <c r="A3" s="1"/>
      <c r="B3" s="1"/>
      <c r="C3" s="10" t="s">
        <v>20</v>
      </c>
      <c r="E3" s="10">
        <v>1</v>
      </c>
      <c r="F3" s="10">
        <v>2</v>
      </c>
      <c r="G3" s="10">
        <v>3</v>
      </c>
      <c r="H3" s="10">
        <v>4</v>
      </c>
      <c r="I3" s="10">
        <v>5</v>
      </c>
    </row>
    <row r="4" spans="1:26" ht="27.75" customHeight="1" x14ac:dyDescent="0.25">
      <c r="A4" s="1"/>
      <c r="B4" s="1"/>
      <c r="D4" s="8"/>
      <c r="E4" s="9" t="s">
        <v>0</v>
      </c>
      <c r="F4" s="9" t="s">
        <v>1</v>
      </c>
      <c r="G4" s="9" t="s">
        <v>2</v>
      </c>
      <c r="H4" s="9" t="s">
        <v>3</v>
      </c>
      <c r="I4" s="9" t="s">
        <v>4</v>
      </c>
    </row>
    <row r="5" spans="1:26" ht="27.75" customHeight="1" x14ac:dyDescent="0.25">
      <c r="A5" s="1"/>
      <c r="B5" s="1"/>
      <c r="C5" s="10">
        <v>11</v>
      </c>
      <c r="D5" s="6">
        <v>0.79166666666666663</v>
      </c>
      <c r="E5" s="7" t="str">
        <f>IFERROR(INDEX(Tabela2[[Disciplina]:[Disciplina]],MATCH($C$3&amp;E$3&amp;$C5,Tabela2[[aux]:[aux]],0)),"-")</f>
        <v>-</v>
      </c>
      <c r="F5" s="7" t="str">
        <f>IFERROR(INDEX(Tabela2[[Disciplina]:[Disciplina]],MATCH($C$3&amp;F$3&amp;$C5,Tabela2[[aux]:[aux]],0)),"-")</f>
        <v>XAHC03S</v>
      </c>
      <c r="G5" s="7" t="str">
        <f>IFERROR(INDEX(Tabela2[[Disciplina]:[Disciplina]],MATCH($C$3&amp;G$3&amp;$C5,Tabela2[[aux]:[aux]],0)),"-")</f>
        <v>SDES07S</v>
      </c>
      <c r="H5" s="7" t="str">
        <f>IFERROR(INDEX(Tabela2[[Disciplina]:[Disciplina]],MATCH($C$3&amp;H$3&amp;$C5,Tabela2[[aux]:[aux]],0)),"-")</f>
        <v>-</v>
      </c>
      <c r="I5" s="7" t="str">
        <f>IFERROR(INDEX(Tabela2[[Disciplina]:[Disciplina]],MATCH($C$3&amp;I$3&amp;$C5,Tabela2[[aux]:[aux]],0)),"-")</f>
        <v>ADM03ES</v>
      </c>
    </row>
    <row r="6" spans="1:26" ht="27.75" customHeight="1" x14ac:dyDescent="0.25">
      <c r="A6" s="1"/>
      <c r="B6" s="1"/>
      <c r="C6" s="10">
        <v>12</v>
      </c>
      <c r="D6" s="3">
        <v>0.82638888888888884</v>
      </c>
      <c r="E6" s="7" t="str">
        <f>IFERROR(INDEX(Tabela2[[Disciplina]:[Disciplina]],MATCH($C$3&amp;E$3&amp;$C6,Tabela2[[aux]:[aux]],0)),"-")</f>
        <v>XAHC01S</v>
      </c>
      <c r="F6" s="7" t="str">
        <f>IFERROR(INDEX(Tabela2[[Disciplina]:[Disciplina]],MATCH($C$3&amp;F$3&amp;$C6,Tabela2[[aux]:[aux]],0)),"-")</f>
        <v>XAHC03S</v>
      </c>
      <c r="G6" s="7" t="str">
        <f>IFERROR(INDEX(Tabela2[[Disciplina]:[Disciplina]],MATCH($C$3&amp;G$3&amp;$C6,Tabela2[[aux]:[aux]],0)),"-")</f>
        <v>SDES07S</v>
      </c>
      <c r="H6" s="7" t="str">
        <f>IFERROR(INDEX(Tabela2[[Disciplina]:[Disciplina]],MATCH($C$3&amp;H$3&amp;$C6,Tabela2[[aux]:[aux]],0)),"-")</f>
        <v>-</v>
      </c>
      <c r="I6" s="7" t="str">
        <f>IFERROR(INDEX(Tabela2[[Disciplina]:[Disciplina]],MATCH($C$3&amp;I$3&amp;$C6,Tabela2[[aux]:[aux]],0)),"-")</f>
        <v>ADM03ES</v>
      </c>
    </row>
    <row r="7" spans="1:26" ht="27.75" customHeight="1" x14ac:dyDescent="0.25">
      <c r="A7" s="1"/>
      <c r="B7" s="1"/>
      <c r="C7" s="10">
        <v>13</v>
      </c>
      <c r="D7" s="3">
        <v>0.875</v>
      </c>
      <c r="E7" s="7" t="str">
        <f>IFERROR(INDEX(Tabela2[[Disciplina]:[Disciplina]],MATCH($C$3&amp;E$3&amp;$C7,Tabela2[[aux]:[aux]],0)),"-")</f>
        <v>XAHC01S</v>
      </c>
      <c r="F7" s="7" t="str">
        <f>IFERROR(INDEX(Tabela2[[Disciplina]:[Disciplina]],MATCH($C$3&amp;F$3&amp;$C7,Tabela2[[aux]:[aux]],0)),"-")</f>
        <v>XAHC01S</v>
      </c>
      <c r="G7" s="7" t="str">
        <f>IFERROR(INDEX(Tabela2[[Disciplina]:[Disciplina]],MATCH($C$3&amp;G$3&amp;$C7,Tabela2[[aux]:[aux]],0)),"-")</f>
        <v>-</v>
      </c>
      <c r="H7" s="7" t="str">
        <f>IFERROR(INDEX(Tabela2[[Disciplina]:[Disciplina]],MATCH($C$3&amp;H$3&amp;$C7,Tabela2[[aux]:[aux]],0)),"-")</f>
        <v>-</v>
      </c>
      <c r="I7" s="7" t="str">
        <f>IFERROR(INDEX(Tabela2[[Disciplina]:[Disciplina]],MATCH($C$3&amp;I$3&amp;$C7,Tabela2[[aux]:[aux]],0)),"-")</f>
        <v>-</v>
      </c>
    </row>
    <row r="8" spans="1:26" ht="27.75" customHeight="1" x14ac:dyDescent="0.25">
      <c r="A8" s="1"/>
      <c r="B8" s="1"/>
      <c r="C8" s="10">
        <v>14</v>
      </c>
      <c r="D8" s="3">
        <v>0.90972222222222221</v>
      </c>
      <c r="E8" s="7" t="str">
        <f>IFERROR(INDEX(Tabela2[[Disciplina]:[Disciplina]],MATCH($C$3&amp;E$3&amp;$C8,Tabela2[[aux]:[aux]],0)),"-")</f>
        <v>SDES07S</v>
      </c>
      <c r="F8" s="7" t="str">
        <f>IFERROR(INDEX(Tabela2[[Disciplina]:[Disciplina]],MATCH($C$3&amp;F$3&amp;$C8,Tabela2[[aux]:[aux]],0)),"-")</f>
        <v>XAHC01S</v>
      </c>
      <c r="G8" s="7" t="str">
        <f>IFERROR(INDEX(Tabela2[[Disciplina]:[Disciplina]],MATCH($C$3&amp;G$3&amp;$C8,Tabela2[[aux]:[aux]],0)),"-")</f>
        <v>-</v>
      </c>
      <c r="H8" s="7" t="str">
        <f>IFERROR(INDEX(Tabela2[[Disciplina]:[Disciplina]],MATCH($C$3&amp;H$3&amp;$C8,Tabela2[[aux]:[aux]],0)),"-")</f>
        <v>XAHC03S</v>
      </c>
      <c r="I8" s="7" t="str">
        <f>IFERROR(INDEX(Tabela2[[Disciplina]:[Disciplina]],MATCH($C$3&amp;I$3&amp;$C8,Tabela2[[aux]:[aux]],0)),"-")</f>
        <v>-</v>
      </c>
    </row>
    <row r="9" spans="1:26" ht="27.75" customHeight="1" x14ac:dyDescent="0.25">
      <c r="A9" s="1"/>
      <c r="B9" s="1"/>
      <c r="C9" s="10">
        <v>15</v>
      </c>
      <c r="D9" s="3">
        <v>0.94444444444444442</v>
      </c>
      <c r="E9" s="7" t="str">
        <f>IFERROR(INDEX(Tabela2[[Disciplina]:[Disciplina]],MATCH($C$3&amp;E$3&amp;$C9,Tabela2[[aux]:[aux]],0)),"-")</f>
        <v>SDES07S</v>
      </c>
      <c r="F9" s="7" t="str">
        <f>IFERROR(INDEX(Tabela2[[Disciplina]:[Disciplina]],MATCH($C$3&amp;F$3&amp;$C9,Tabela2[[aux]:[aux]],0)),"-")</f>
        <v>ADM03ES</v>
      </c>
      <c r="G9" s="7" t="str">
        <f>IFERROR(INDEX(Tabela2[[Disciplina]:[Disciplina]],MATCH($C$3&amp;G$3&amp;$C9,Tabela2[[aux]:[aux]],0)),"-")</f>
        <v>-</v>
      </c>
      <c r="H9" s="7" t="str">
        <f>IFERROR(INDEX(Tabela2[[Disciplina]:[Disciplina]],MATCH($C$3&amp;H$3&amp;$C9,Tabela2[[aux]:[aux]],0)),"-")</f>
        <v>XAHC03S</v>
      </c>
      <c r="I9" s="7" t="str">
        <f>IFERROR(INDEX(Tabela2[[Disciplina]:[Disciplina]],MATCH($C$3&amp;I$3&amp;$C9,Tabela2[[aux]:[aux]],0)),"-")</f>
        <v>-</v>
      </c>
    </row>
    <row r="10" spans="1:26" ht="9" customHeight="1" x14ac:dyDescent="0.25">
      <c r="A10" s="1"/>
      <c r="B10" s="1"/>
      <c r="C10" s="10"/>
    </row>
    <row r="11" spans="1:26" ht="27.75" customHeight="1" x14ac:dyDescent="0.25">
      <c r="A11" s="1"/>
      <c r="B11" s="1"/>
      <c r="C11" s="10"/>
    </row>
    <row r="12" spans="1:26" ht="27.75" customHeight="1" x14ac:dyDescent="0.25">
      <c r="A12" s="1"/>
      <c r="B12" s="1"/>
      <c r="C12" s="10"/>
    </row>
    <row r="13" spans="1:26" ht="27.75" customHeight="1" x14ac:dyDescent="0.25">
      <c r="A13" s="1"/>
      <c r="B13" s="1"/>
      <c r="C13" s="10"/>
    </row>
    <row r="14" spans="1:26" ht="27.75" customHeight="1" x14ac:dyDescent="0.25">
      <c r="A14" s="1"/>
      <c r="B14" s="1"/>
      <c r="C14" s="10"/>
    </row>
    <row r="15" spans="1:26" ht="27.75" customHeight="1" x14ac:dyDescent="0.25">
      <c r="A15" s="1"/>
      <c r="B15" s="1"/>
      <c r="C15" s="10"/>
    </row>
    <row r="16" spans="1:26" ht="27.75" customHeight="1" x14ac:dyDescent="0.25">
      <c r="A16" s="1"/>
      <c r="B16" s="1"/>
    </row>
    <row r="17" spans="1:2" ht="27.75" customHeight="1" x14ac:dyDescent="0.25">
      <c r="A17" s="1"/>
      <c r="B17" s="1"/>
    </row>
    <row r="18" spans="1:2" ht="27.75" customHeight="1" x14ac:dyDescent="0.25">
      <c r="A18" s="1"/>
      <c r="B18" s="1"/>
    </row>
    <row r="19" spans="1:2" ht="27.75" customHeight="1" x14ac:dyDescent="0.25">
      <c r="A19" s="1"/>
      <c r="B19" s="1"/>
    </row>
    <row r="20" spans="1:2" ht="27.75" customHeight="1" x14ac:dyDescent="0.25">
      <c r="A20" s="1"/>
      <c r="B20" s="1"/>
    </row>
    <row r="21" spans="1:2" ht="27.75" customHeight="1" x14ac:dyDescent="0.25">
      <c r="A21" s="1"/>
      <c r="B21" s="1"/>
    </row>
    <row r="22" spans="1:2" ht="27.75" customHeight="1" x14ac:dyDescent="0.25">
      <c r="A22" s="1"/>
      <c r="B22" s="1"/>
    </row>
    <row r="23" spans="1:2" ht="27.75" customHeight="1" x14ac:dyDescent="0.25">
      <c r="A23" s="1"/>
      <c r="B23" s="1"/>
    </row>
    <row r="24" spans="1:2" ht="27.75" customHeight="1" x14ac:dyDescent="0.25">
      <c r="A24" s="1"/>
      <c r="B24" s="1"/>
    </row>
    <row r="25" spans="1:2" ht="27.75" customHeight="1" x14ac:dyDescent="0.25">
      <c r="A25" s="1"/>
      <c r="B25" s="1"/>
    </row>
    <row r="26" spans="1:2" ht="27.75" customHeight="1" x14ac:dyDescent="0.25">
      <c r="A26" s="1"/>
      <c r="B26" s="1"/>
    </row>
    <row r="27" spans="1:2" ht="27.75" customHeight="1" x14ac:dyDescent="0.25">
      <c r="A27" s="1"/>
      <c r="B27" s="1"/>
    </row>
    <row r="28" spans="1:2" ht="27.75" customHeight="1" x14ac:dyDescent="0.25">
      <c r="A28" s="1"/>
      <c r="B28" s="1"/>
    </row>
    <row r="29" spans="1:2" ht="27.75" customHeight="1" x14ac:dyDescent="0.25">
      <c r="A29" s="1"/>
      <c r="B29" s="1"/>
    </row>
    <row r="30" spans="1:2" ht="27.75" customHeight="1" x14ac:dyDescent="0.25">
      <c r="A30" s="1"/>
      <c r="B30" s="1"/>
    </row>
    <row r="31" spans="1:2" ht="27.75" customHeight="1" x14ac:dyDescent="0.25">
      <c r="A31" s="1"/>
      <c r="B31" s="1"/>
    </row>
    <row r="32" spans="1:2" ht="27.75" customHeight="1" x14ac:dyDescent="0.25">
      <c r="A32" s="1"/>
      <c r="B32" s="1"/>
    </row>
    <row r="33" spans="1:2" ht="27.75" customHeight="1" x14ac:dyDescent="0.25">
      <c r="A33" s="1"/>
      <c r="B33" s="1"/>
    </row>
    <row r="34" spans="1:2" ht="27.75" customHeight="1" x14ac:dyDescent="0.25">
      <c r="A34" s="1"/>
      <c r="B34" s="1"/>
    </row>
    <row r="35" spans="1:2" ht="27.75" customHeight="1" x14ac:dyDescent="0.25">
      <c r="A35" s="1"/>
      <c r="B35" s="1"/>
    </row>
    <row r="36" spans="1:2" ht="27.75" customHeight="1" x14ac:dyDescent="0.25">
      <c r="A36" s="1"/>
      <c r="B36" s="1"/>
    </row>
    <row r="37" spans="1:2" ht="27.75" customHeight="1" x14ac:dyDescent="0.25">
      <c r="A37" s="1"/>
      <c r="B37" s="1"/>
    </row>
    <row r="38" spans="1:2" ht="27.75" customHeight="1" x14ac:dyDescent="0.25">
      <c r="A38" s="1"/>
      <c r="B38" s="1"/>
    </row>
    <row r="39" spans="1:2" ht="27.75" customHeight="1" x14ac:dyDescent="0.25">
      <c r="A39" s="1"/>
      <c r="B39" s="1"/>
    </row>
    <row r="40" spans="1:2" ht="27.75" customHeight="1" x14ac:dyDescent="0.25">
      <c r="A40" s="1"/>
      <c r="B40" s="1"/>
    </row>
    <row r="41" spans="1:2" ht="27.75" customHeight="1" x14ac:dyDescent="0.25">
      <c r="A41" s="1"/>
      <c r="B41" s="1"/>
    </row>
    <row r="42" spans="1:2" ht="27.75" customHeight="1" x14ac:dyDescent="0.25">
      <c r="A42" s="1"/>
      <c r="B42" s="1"/>
    </row>
    <row r="43" spans="1:2" ht="27.75" customHeight="1" x14ac:dyDescent="0.25">
      <c r="A43" s="1"/>
      <c r="B43" s="1"/>
    </row>
    <row r="44" spans="1:2" ht="27.75" customHeight="1" x14ac:dyDescent="0.25">
      <c r="A44" s="1"/>
      <c r="B44" s="1"/>
    </row>
    <row r="45" spans="1:2" ht="27.75" customHeight="1" x14ac:dyDescent="0.25">
      <c r="A45" s="1"/>
      <c r="B45" s="1"/>
    </row>
    <row r="46" spans="1:2" ht="27.75" customHeight="1" x14ac:dyDescent="0.25">
      <c r="A46" s="1"/>
      <c r="B46" s="1"/>
    </row>
    <row r="47" spans="1:2" ht="27.75" customHeight="1" x14ac:dyDescent="0.25">
      <c r="A47" s="1"/>
      <c r="B47" s="1"/>
    </row>
    <row r="48" spans="1:2" ht="27.75" customHeight="1" x14ac:dyDescent="0.25">
      <c r="A48" s="1"/>
      <c r="B48" s="1"/>
    </row>
    <row r="49" spans="1:2" ht="27.75" customHeight="1" x14ac:dyDescent="0.25">
      <c r="A49" s="1"/>
      <c r="B49" s="1"/>
    </row>
    <row r="50" spans="1:2" ht="27.75" customHeight="1" x14ac:dyDescent="0.25">
      <c r="A50" s="1"/>
      <c r="B50" s="1"/>
    </row>
    <row r="51" spans="1:2" ht="27.75" customHeight="1" x14ac:dyDescent="0.25">
      <c r="A51" s="1"/>
      <c r="B51" s="1"/>
    </row>
    <row r="52" spans="1:2" ht="27.75" customHeight="1" x14ac:dyDescent="0.25">
      <c r="A52" s="1"/>
      <c r="B52" s="1"/>
    </row>
    <row r="53" spans="1:2" ht="27.75" customHeight="1" x14ac:dyDescent="0.25">
      <c r="A53" s="1"/>
      <c r="B53" s="1"/>
    </row>
    <row r="54" spans="1:2" ht="27.75" customHeight="1" x14ac:dyDescent="0.25">
      <c r="A54" s="1"/>
      <c r="B54" s="1"/>
    </row>
    <row r="55" spans="1:2" ht="27.75" customHeight="1" x14ac:dyDescent="0.25">
      <c r="A55" s="1"/>
      <c r="B55" s="1"/>
    </row>
    <row r="56" spans="1:2" ht="27.75" customHeight="1" x14ac:dyDescent="0.25">
      <c r="A56" s="1"/>
      <c r="B56" s="1"/>
    </row>
    <row r="57" spans="1:2" ht="27.75" customHeight="1" x14ac:dyDescent="0.25">
      <c r="A57" s="1"/>
      <c r="B57" s="1"/>
    </row>
    <row r="58" spans="1:2" ht="27.75" customHeight="1" x14ac:dyDescent="0.25">
      <c r="A58" s="1"/>
      <c r="B58" s="1"/>
    </row>
    <row r="59" spans="1:2" ht="27.75" customHeight="1" x14ac:dyDescent="0.25">
      <c r="A59" s="1"/>
      <c r="B59" s="1"/>
    </row>
    <row r="60" spans="1:2" ht="27.75" customHeight="1" x14ac:dyDescent="0.25">
      <c r="A60" s="1"/>
      <c r="B60" s="1"/>
    </row>
    <row r="61" spans="1:2" ht="27.75" customHeight="1" x14ac:dyDescent="0.25">
      <c r="A61" s="1"/>
      <c r="B61" s="1"/>
    </row>
    <row r="62" spans="1:2" ht="27.75" customHeight="1" x14ac:dyDescent="0.25">
      <c r="A62" s="1"/>
      <c r="B62" s="1"/>
    </row>
    <row r="63" spans="1:2" ht="27.75" customHeight="1" x14ac:dyDescent="0.25">
      <c r="A63" s="1"/>
      <c r="B63" s="1"/>
    </row>
    <row r="64" spans="1:2" ht="27.75" customHeight="1" x14ac:dyDescent="0.25">
      <c r="A64" s="1"/>
      <c r="B64" s="1"/>
    </row>
    <row r="65" spans="1:2" ht="27.75" customHeight="1" x14ac:dyDescent="0.25">
      <c r="A65" s="1"/>
      <c r="B65" s="1"/>
    </row>
    <row r="66" spans="1:2" ht="27.75" customHeight="1" x14ac:dyDescent="0.25">
      <c r="A66" s="1"/>
      <c r="B66" s="1"/>
    </row>
    <row r="67" spans="1:2" ht="27.75" customHeight="1" x14ac:dyDescent="0.25">
      <c r="A67" s="1"/>
      <c r="B67" s="1"/>
    </row>
    <row r="68" spans="1:2" ht="27.75" customHeight="1" x14ac:dyDescent="0.25">
      <c r="A68" s="1"/>
      <c r="B68" s="1"/>
    </row>
    <row r="69" spans="1:2" ht="27.75" customHeight="1" x14ac:dyDescent="0.25">
      <c r="A69" s="1"/>
      <c r="B69" s="1"/>
    </row>
    <row r="70" spans="1:2" ht="27.75" customHeight="1" x14ac:dyDescent="0.25">
      <c r="A70" s="1"/>
      <c r="B70" s="1"/>
    </row>
    <row r="71" spans="1:2" ht="27.75" customHeight="1" x14ac:dyDescent="0.25">
      <c r="A71" s="1"/>
      <c r="B71" s="1"/>
    </row>
    <row r="72" spans="1:2" ht="27.75" customHeight="1" x14ac:dyDescent="0.25">
      <c r="A72" s="1"/>
      <c r="B72" s="1"/>
    </row>
    <row r="73" spans="1:2" ht="27.75" customHeight="1" x14ac:dyDescent="0.25">
      <c r="A73" s="1"/>
      <c r="B73" s="1"/>
    </row>
    <row r="74" spans="1:2" ht="27.75" customHeight="1" x14ac:dyDescent="0.25">
      <c r="A74" s="1"/>
      <c r="B74" s="1"/>
    </row>
    <row r="75" spans="1:2" ht="27.75" customHeight="1" x14ac:dyDescent="0.25">
      <c r="A75" s="1"/>
      <c r="B75" s="1"/>
    </row>
    <row r="76" spans="1:2" ht="27.75" customHeight="1" x14ac:dyDescent="0.25">
      <c r="A76" s="1"/>
      <c r="B76" s="1"/>
    </row>
    <row r="77" spans="1:2" ht="27.75" customHeight="1" x14ac:dyDescent="0.25">
      <c r="A77" s="1"/>
      <c r="B77" s="1"/>
    </row>
    <row r="78" spans="1:2" ht="27.75" customHeight="1" x14ac:dyDescent="0.25">
      <c r="A78" s="1"/>
      <c r="B78" s="1"/>
    </row>
    <row r="79" spans="1:2" ht="27.75" customHeight="1" x14ac:dyDescent="0.25">
      <c r="A79" s="1"/>
      <c r="B79" s="1"/>
    </row>
    <row r="80" spans="1:2" ht="27.75" customHeight="1" x14ac:dyDescent="0.25">
      <c r="A80" s="1"/>
      <c r="B80" s="1"/>
    </row>
    <row r="81" spans="1:2" ht="27.75" customHeight="1" x14ac:dyDescent="0.25">
      <c r="A81" s="1"/>
      <c r="B81" s="1"/>
    </row>
    <row r="82" spans="1:2" ht="27.75" customHeight="1" x14ac:dyDescent="0.25">
      <c r="A82" s="1"/>
      <c r="B82" s="1"/>
    </row>
    <row r="83" spans="1:2" ht="27.75" customHeight="1" x14ac:dyDescent="0.25">
      <c r="A83" s="1"/>
      <c r="B83" s="1"/>
    </row>
    <row r="84" spans="1:2" ht="27.75" customHeight="1" x14ac:dyDescent="0.25">
      <c r="A84" s="1"/>
      <c r="B84" s="1"/>
    </row>
    <row r="85" spans="1:2" ht="27.75" customHeight="1" x14ac:dyDescent="0.25">
      <c r="A85" s="1"/>
      <c r="B85" s="1"/>
    </row>
    <row r="86" spans="1:2" ht="27.75" customHeight="1" x14ac:dyDescent="0.25">
      <c r="A86" s="1"/>
      <c r="B86" s="1"/>
    </row>
    <row r="87" spans="1:2" ht="27.75" customHeight="1" x14ac:dyDescent="0.25">
      <c r="A87" s="1"/>
      <c r="B87" s="1"/>
    </row>
    <row r="88" spans="1:2" ht="27.75" customHeight="1" x14ac:dyDescent="0.25">
      <c r="A88" s="1"/>
      <c r="B88" s="1"/>
    </row>
    <row r="89" spans="1:2" ht="27.75" customHeight="1" x14ac:dyDescent="0.25">
      <c r="A89" s="1"/>
      <c r="B89" s="1"/>
    </row>
    <row r="90" spans="1:2" ht="27.75" customHeight="1" x14ac:dyDescent="0.25">
      <c r="A90" s="1"/>
      <c r="B90" s="1"/>
    </row>
    <row r="91" spans="1:2" ht="27.75" customHeight="1" x14ac:dyDescent="0.25">
      <c r="A91" s="1"/>
      <c r="B91" s="1"/>
    </row>
    <row r="92" spans="1:2" ht="27.75" customHeight="1" x14ac:dyDescent="0.25">
      <c r="A92" s="1"/>
      <c r="B92" s="1"/>
    </row>
    <row r="93" spans="1:2" ht="27.75" customHeight="1" x14ac:dyDescent="0.25">
      <c r="A93" s="1"/>
      <c r="B93" s="1"/>
    </row>
    <row r="94" spans="1:2" ht="27.75" customHeight="1" x14ac:dyDescent="0.25">
      <c r="A94" s="1"/>
      <c r="B94" s="1"/>
    </row>
    <row r="95" spans="1:2" ht="27.75" customHeight="1" x14ac:dyDescent="0.25">
      <c r="A95" s="1"/>
      <c r="B95" s="1"/>
    </row>
    <row r="96" spans="1:2" ht="27.75" customHeight="1" x14ac:dyDescent="0.25">
      <c r="A96" s="1"/>
      <c r="B96" s="1"/>
    </row>
    <row r="97" spans="1:2" ht="27.75" customHeight="1" x14ac:dyDescent="0.25">
      <c r="A97" s="1"/>
      <c r="B97" s="1"/>
    </row>
    <row r="98" spans="1:2" ht="27.75" customHeight="1" x14ac:dyDescent="0.25">
      <c r="A98" s="1"/>
      <c r="B98" s="1"/>
    </row>
    <row r="99" spans="1:2" ht="27.75" customHeight="1" x14ac:dyDescent="0.25">
      <c r="A99" s="1"/>
      <c r="B99" s="1"/>
    </row>
    <row r="100" spans="1:2" ht="27.75" customHeight="1" x14ac:dyDescent="0.25">
      <c r="A100" s="1"/>
      <c r="B100" s="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B40FC6-04EB-40C2-B888-D130F1EBBCBD}">
  <sheetPr codeName="Planilha17"/>
  <dimension ref="A1:Z100"/>
  <sheetViews>
    <sheetView showGridLines="0" showRowColHeaders="0" workbookViewId="0">
      <selection activeCell="L19" sqref="L19"/>
    </sheetView>
  </sheetViews>
  <sheetFormatPr defaultColWidth="14.85546875" defaultRowHeight="27.75" customHeight="1" x14ac:dyDescent="0.25"/>
  <cols>
    <col min="1" max="2" width="14.85546875" style="2"/>
    <col min="3" max="10" width="21.28515625" style="2" customWidth="1"/>
    <col min="11" max="16384" width="14.85546875" style="2"/>
  </cols>
  <sheetData>
    <row r="1" spans="1:26" ht="32.2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27.75" customHeight="1" x14ac:dyDescent="0.25">
      <c r="A2" s="1"/>
      <c r="B2" s="1"/>
    </row>
    <row r="3" spans="1:26" ht="27.75" customHeight="1" x14ac:dyDescent="0.25">
      <c r="A3" s="1"/>
      <c r="B3" s="1"/>
      <c r="C3" s="10" t="s">
        <v>22</v>
      </c>
      <c r="E3" s="10">
        <v>1</v>
      </c>
      <c r="F3" s="10">
        <v>2</v>
      </c>
      <c r="G3" s="10">
        <v>3</v>
      </c>
      <c r="H3" s="10">
        <v>4</v>
      </c>
      <c r="I3" s="10">
        <v>5</v>
      </c>
    </row>
    <row r="4" spans="1:26" ht="27.75" customHeight="1" x14ac:dyDescent="0.25">
      <c r="A4" s="1"/>
      <c r="B4" s="1"/>
      <c r="D4" s="8"/>
      <c r="E4" s="9" t="s">
        <v>0</v>
      </c>
      <c r="F4" s="9" t="s">
        <v>1</v>
      </c>
      <c r="G4" s="9" t="s">
        <v>2</v>
      </c>
      <c r="H4" s="9" t="s">
        <v>3</v>
      </c>
      <c r="I4" s="9" t="s">
        <v>4</v>
      </c>
    </row>
    <row r="5" spans="1:26" ht="27.75" customHeight="1" x14ac:dyDescent="0.25">
      <c r="A5" s="1"/>
      <c r="B5" s="1"/>
      <c r="C5" s="10">
        <v>11</v>
      </c>
      <c r="D5" s="6">
        <v>0.79166666666666663</v>
      </c>
      <c r="E5" s="7" t="str">
        <f>IFERROR(INDEX(Tabela2[[Disciplina]:[Disciplina]],MATCH($C$3&amp;E$3&amp;$C5,Tabela2[[aux]:[aux]],0)),"-")</f>
        <v>SADG01S</v>
      </c>
      <c r="F5" s="7" t="str">
        <f>IFERROR(INDEX(Tabela2[[Disciplina]:[Disciplina]],MATCH($C$3&amp;F$3&amp;$C5,Tabela2[[aux]:[aux]],0)),"-")</f>
        <v>-</v>
      </c>
      <c r="G5" s="7" t="str">
        <f>IFERROR(INDEX(Tabela2[[Disciplina]:[Disciplina]],MATCH($C$3&amp;G$3&amp;$C5,Tabela2[[aux]:[aux]],0)),"-")</f>
        <v>-</v>
      </c>
      <c r="H5" s="7" t="str">
        <f>IFERROR(INDEX(Tabela2[[Disciplina]:[Disciplina]],MATCH($C$3&amp;H$3&amp;$C5,Tabela2[[aux]:[aux]],0)),"-")</f>
        <v>-</v>
      </c>
      <c r="I5" s="7" t="str">
        <f>IFERROR(INDEX(Tabela2[[Disciplina]:[Disciplina]],MATCH($C$3&amp;I$3&amp;$C5,Tabela2[[aux]:[aux]],0)),"-")</f>
        <v>-</v>
      </c>
    </row>
    <row r="6" spans="1:26" ht="27.75" customHeight="1" x14ac:dyDescent="0.25">
      <c r="A6" s="1"/>
      <c r="B6" s="1"/>
      <c r="C6" s="10">
        <v>12</v>
      </c>
      <c r="D6" s="3">
        <v>0.82638888888888884</v>
      </c>
      <c r="E6" s="7" t="str">
        <f>IFERROR(INDEX(Tabela2[[Disciplina]:[Disciplina]],MATCH($C$3&amp;E$3&amp;$C6,Tabela2[[aux]:[aux]],0)),"-")</f>
        <v>SADG01S</v>
      </c>
      <c r="F6" s="7" t="str">
        <f>IFERROR(INDEX(Tabela2[[Disciplina]:[Disciplina]],MATCH($C$3&amp;F$3&amp;$C6,Tabela2[[aux]:[aux]],0)),"-")</f>
        <v>-</v>
      </c>
      <c r="G6" s="7" t="str">
        <f>IFERROR(INDEX(Tabela2[[Disciplina]:[Disciplina]],MATCH($C$3&amp;G$3&amp;$C6,Tabela2[[aux]:[aux]],0)),"-")</f>
        <v>-</v>
      </c>
      <c r="H6" s="7" t="str">
        <f>IFERROR(INDEX(Tabela2[[Disciplina]:[Disciplina]],MATCH($C$3&amp;H$3&amp;$C6,Tabela2[[aux]:[aux]],0)),"-")</f>
        <v>-</v>
      </c>
      <c r="I6" s="7" t="str">
        <f>IFERROR(INDEX(Tabela2[[Disciplina]:[Disciplina]],MATCH($C$3&amp;I$3&amp;$C6,Tabela2[[aux]:[aux]],0)),"-")</f>
        <v>-</v>
      </c>
    </row>
    <row r="7" spans="1:26" ht="27.75" customHeight="1" x14ac:dyDescent="0.25">
      <c r="A7" s="1"/>
      <c r="B7" s="1"/>
      <c r="C7" s="10">
        <v>13</v>
      </c>
      <c r="D7" s="3">
        <v>0.875</v>
      </c>
      <c r="E7" s="7" t="str">
        <f>IFERROR(INDEX(Tabela2[[Disciplina]:[Disciplina]],MATCH($C$3&amp;E$3&amp;$C7,Tabela2[[aux]:[aux]],0)),"-")</f>
        <v>-</v>
      </c>
      <c r="F7" s="7" t="str">
        <f>IFERROR(INDEX(Tabela2[[Disciplina]:[Disciplina]],MATCH($C$3&amp;F$3&amp;$C7,Tabela2[[aux]:[aux]],0)),"-")</f>
        <v>-</v>
      </c>
      <c r="G7" s="7" t="str">
        <f>IFERROR(INDEX(Tabela2[[Disciplina]:[Disciplina]],MATCH($C$3&amp;G$3&amp;$C7,Tabela2[[aux]:[aux]],0)),"-")</f>
        <v>-</v>
      </c>
      <c r="H7" s="7" t="str">
        <f>IFERROR(INDEX(Tabela2[[Disciplina]:[Disciplina]],MATCH($C$3&amp;H$3&amp;$C7,Tabela2[[aux]:[aux]],0)),"-")</f>
        <v>-</v>
      </c>
      <c r="I7" s="7" t="str">
        <f>IFERROR(INDEX(Tabela2[[Disciplina]:[Disciplina]],MATCH($C$3&amp;I$3&amp;$C7,Tabela2[[aux]:[aux]],0)),"-")</f>
        <v>-</v>
      </c>
    </row>
    <row r="8" spans="1:26" ht="27.75" customHeight="1" x14ac:dyDescent="0.25">
      <c r="A8" s="1"/>
      <c r="B8" s="1"/>
      <c r="C8" s="10">
        <v>14</v>
      </c>
      <c r="D8" s="3">
        <v>0.90972222222222221</v>
      </c>
      <c r="E8" s="7" t="str">
        <f>IFERROR(INDEX(Tabela2[[Disciplina]:[Disciplina]],MATCH($C$3&amp;E$3&amp;$C8,Tabela2[[aux]:[aux]],0)),"-")</f>
        <v>-</v>
      </c>
      <c r="F8" s="7" t="str">
        <f>IFERROR(INDEX(Tabela2[[Disciplina]:[Disciplina]],MATCH($C$3&amp;F$3&amp;$C8,Tabela2[[aux]:[aux]],0)),"-")</f>
        <v>-</v>
      </c>
      <c r="G8" s="7" t="str">
        <f>IFERROR(INDEX(Tabela2[[Disciplina]:[Disciplina]],MATCH($C$3&amp;G$3&amp;$C8,Tabela2[[aux]:[aux]],0)),"-")</f>
        <v>SADG01S</v>
      </c>
      <c r="H8" s="7" t="str">
        <f>IFERROR(INDEX(Tabela2[[Disciplina]:[Disciplina]],MATCH($C$3&amp;H$3&amp;$C8,Tabela2[[aux]:[aux]],0)),"-")</f>
        <v>-</v>
      </c>
      <c r="I8" s="7" t="str">
        <f>IFERROR(INDEX(Tabela2[[Disciplina]:[Disciplina]],MATCH($C$3&amp;I$3&amp;$C8,Tabela2[[aux]:[aux]],0)),"-")</f>
        <v>-</v>
      </c>
    </row>
    <row r="9" spans="1:26" ht="27.75" customHeight="1" x14ac:dyDescent="0.25">
      <c r="A9" s="1"/>
      <c r="B9" s="1"/>
      <c r="C9" s="10">
        <v>15</v>
      </c>
      <c r="D9" s="3">
        <v>0.94444444444444442</v>
      </c>
      <c r="E9" s="7" t="str">
        <f>IFERROR(INDEX(Tabela2[[Disciplina]:[Disciplina]],MATCH($C$3&amp;E$3&amp;$C9,Tabela2[[aux]:[aux]],0)),"-")</f>
        <v>-</v>
      </c>
      <c r="F9" s="7" t="str">
        <f>IFERROR(INDEX(Tabela2[[Disciplina]:[Disciplina]],MATCH($C$3&amp;F$3&amp;$C9,Tabela2[[aux]:[aux]],0)),"-")</f>
        <v>-</v>
      </c>
      <c r="G9" s="7" t="str">
        <f>IFERROR(INDEX(Tabela2[[Disciplina]:[Disciplina]],MATCH($C$3&amp;G$3&amp;$C9,Tabela2[[aux]:[aux]],0)),"-")</f>
        <v>SADG01S</v>
      </c>
      <c r="H9" s="7" t="str">
        <f>IFERROR(INDEX(Tabela2[[Disciplina]:[Disciplina]],MATCH($C$3&amp;H$3&amp;$C9,Tabela2[[aux]:[aux]],0)),"-")</f>
        <v>-</v>
      </c>
      <c r="I9" s="7" t="str">
        <f>IFERROR(INDEX(Tabela2[[Disciplina]:[Disciplina]],MATCH($C$3&amp;I$3&amp;$C9,Tabela2[[aux]:[aux]],0)),"-")</f>
        <v>-</v>
      </c>
    </row>
    <row r="10" spans="1:26" ht="9" customHeight="1" x14ac:dyDescent="0.25">
      <c r="A10" s="1"/>
      <c r="B10" s="1"/>
      <c r="C10" s="10"/>
    </row>
    <row r="11" spans="1:26" ht="27.75" customHeight="1" x14ac:dyDescent="0.25">
      <c r="A11" s="1"/>
      <c r="B11" s="1"/>
      <c r="C11" s="10"/>
    </row>
    <row r="12" spans="1:26" ht="27.75" customHeight="1" x14ac:dyDescent="0.25">
      <c r="A12" s="1"/>
      <c r="B12" s="1"/>
      <c r="C12" s="10"/>
    </row>
    <row r="13" spans="1:26" ht="27.75" customHeight="1" x14ac:dyDescent="0.25">
      <c r="A13" s="1"/>
      <c r="B13" s="1"/>
      <c r="C13" s="10"/>
    </row>
    <row r="14" spans="1:26" ht="27.75" customHeight="1" x14ac:dyDescent="0.25">
      <c r="A14" s="1"/>
      <c r="B14" s="1"/>
      <c r="C14" s="10"/>
    </row>
    <row r="15" spans="1:26" ht="27.75" customHeight="1" x14ac:dyDescent="0.25">
      <c r="A15" s="1"/>
      <c r="B15" s="1"/>
      <c r="C15" s="10"/>
    </row>
    <row r="16" spans="1:26" ht="27.75" customHeight="1" x14ac:dyDescent="0.25">
      <c r="A16" s="1"/>
      <c r="B16" s="1"/>
    </row>
    <row r="17" spans="1:2" ht="27.75" customHeight="1" x14ac:dyDescent="0.25">
      <c r="A17" s="1"/>
      <c r="B17" s="1"/>
    </row>
    <row r="18" spans="1:2" ht="27.75" customHeight="1" x14ac:dyDescent="0.25">
      <c r="A18" s="1"/>
      <c r="B18" s="1"/>
    </row>
    <row r="19" spans="1:2" ht="27.75" customHeight="1" x14ac:dyDescent="0.25">
      <c r="A19" s="1"/>
      <c r="B19" s="1"/>
    </row>
    <row r="20" spans="1:2" ht="27.75" customHeight="1" x14ac:dyDescent="0.25">
      <c r="A20" s="1"/>
      <c r="B20" s="1"/>
    </row>
    <row r="21" spans="1:2" ht="27.75" customHeight="1" x14ac:dyDescent="0.25">
      <c r="A21" s="1"/>
      <c r="B21" s="1"/>
    </row>
    <row r="22" spans="1:2" ht="27.75" customHeight="1" x14ac:dyDescent="0.25">
      <c r="A22" s="1"/>
      <c r="B22" s="1"/>
    </row>
    <row r="23" spans="1:2" ht="27.75" customHeight="1" x14ac:dyDescent="0.25">
      <c r="A23" s="1"/>
      <c r="B23" s="1"/>
    </row>
    <row r="24" spans="1:2" ht="27.75" customHeight="1" x14ac:dyDescent="0.25">
      <c r="A24" s="1"/>
      <c r="B24" s="1"/>
    </row>
    <row r="25" spans="1:2" ht="27.75" customHeight="1" x14ac:dyDescent="0.25">
      <c r="A25" s="1"/>
      <c r="B25" s="1"/>
    </row>
    <row r="26" spans="1:2" ht="27.75" customHeight="1" x14ac:dyDescent="0.25">
      <c r="A26" s="1"/>
      <c r="B26" s="1"/>
    </row>
    <row r="27" spans="1:2" ht="27.75" customHeight="1" x14ac:dyDescent="0.25">
      <c r="A27" s="1"/>
      <c r="B27" s="1"/>
    </row>
    <row r="28" spans="1:2" ht="27.75" customHeight="1" x14ac:dyDescent="0.25">
      <c r="A28" s="1"/>
      <c r="B28" s="1"/>
    </row>
    <row r="29" spans="1:2" ht="27.75" customHeight="1" x14ac:dyDescent="0.25">
      <c r="A29" s="1"/>
      <c r="B29" s="1"/>
    </row>
    <row r="30" spans="1:2" ht="27.75" customHeight="1" x14ac:dyDescent="0.25">
      <c r="A30" s="1"/>
      <c r="B30" s="1"/>
    </row>
    <row r="31" spans="1:2" ht="27.75" customHeight="1" x14ac:dyDescent="0.25">
      <c r="A31" s="1"/>
      <c r="B31" s="1"/>
    </row>
    <row r="32" spans="1:2" ht="27.75" customHeight="1" x14ac:dyDescent="0.25">
      <c r="A32" s="1"/>
      <c r="B32" s="1"/>
    </row>
    <row r="33" spans="1:2" ht="27.75" customHeight="1" x14ac:dyDescent="0.25">
      <c r="A33" s="1"/>
      <c r="B33" s="1"/>
    </row>
    <row r="34" spans="1:2" ht="27.75" customHeight="1" x14ac:dyDescent="0.25">
      <c r="A34" s="1"/>
      <c r="B34" s="1"/>
    </row>
    <row r="35" spans="1:2" ht="27.75" customHeight="1" x14ac:dyDescent="0.25">
      <c r="A35" s="1"/>
      <c r="B35" s="1"/>
    </row>
    <row r="36" spans="1:2" ht="27.75" customHeight="1" x14ac:dyDescent="0.25">
      <c r="A36" s="1"/>
      <c r="B36" s="1"/>
    </row>
    <row r="37" spans="1:2" ht="27.75" customHeight="1" x14ac:dyDescent="0.25">
      <c r="A37" s="1"/>
      <c r="B37" s="1"/>
    </row>
    <row r="38" spans="1:2" ht="27.75" customHeight="1" x14ac:dyDescent="0.25">
      <c r="A38" s="1"/>
      <c r="B38" s="1"/>
    </row>
    <row r="39" spans="1:2" ht="27.75" customHeight="1" x14ac:dyDescent="0.25">
      <c r="A39" s="1"/>
      <c r="B39" s="1"/>
    </row>
    <row r="40" spans="1:2" ht="27.75" customHeight="1" x14ac:dyDescent="0.25">
      <c r="A40" s="1"/>
      <c r="B40" s="1"/>
    </row>
    <row r="41" spans="1:2" ht="27.75" customHeight="1" x14ac:dyDescent="0.25">
      <c r="A41" s="1"/>
      <c r="B41" s="1"/>
    </row>
    <row r="42" spans="1:2" ht="27.75" customHeight="1" x14ac:dyDescent="0.25">
      <c r="A42" s="1"/>
      <c r="B42" s="1"/>
    </row>
    <row r="43" spans="1:2" ht="27.75" customHeight="1" x14ac:dyDescent="0.25">
      <c r="A43" s="1"/>
      <c r="B43" s="1"/>
    </row>
    <row r="44" spans="1:2" ht="27.75" customHeight="1" x14ac:dyDescent="0.25">
      <c r="A44" s="1"/>
      <c r="B44" s="1"/>
    </row>
    <row r="45" spans="1:2" ht="27.75" customHeight="1" x14ac:dyDescent="0.25">
      <c r="A45" s="1"/>
      <c r="B45" s="1"/>
    </row>
    <row r="46" spans="1:2" ht="27.75" customHeight="1" x14ac:dyDescent="0.25">
      <c r="A46" s="1"/>
      <c r="B46" s="1"/>
    </row>
    <row r="47" spans="1:2" ht="27.75" customHeight="1" x14ac:dyDescent="0.25">
      <c r="A47" s="1"/>
      <c r="B47" s="1"/>
    </row>
    <row r="48" spans="1:2" ht="27.75" customHeight="1" x14ac:dyDescent="0.25">
      <c r="A48" s="1"/>
      <c r="B48" s="1"/>
    </row>
    <row r="49" spans="1:2" ht="27.75" customHeight="1" x14ac:dyDescent="0.25">
      <c r="A49" s="1"/>
      <c r="B49" s="1"/>
    </row>
    <row r="50" spans="1:2" ht="27.75" customHeight="1" x14ac:dyDescent="0.25">
      <c r="A50" s="1"/>
      <c r="B50" s="1"/>
    </row>
    <row r="51" spans="1:2" ht="27.75" customHeight="1" x14ac:dyDescent="0.25">
      <c r="A51" s="1"/>
      <c r="B51" s="1"/>
    </row>
    <row r="52" spans="1:2" ht="27.75" customHeight="1" x14ac:dyDescent="0.25">
      <c r="A52" s="1"/>
      <c r="B52" s="1"/>
    </row>
    <row r="53" spans="1:2" ht="27.75" customHeight="1" x14ac:dyDescent="0.25">
      <c r="A53" s="1"/>
      <c r="B53" s="1"/>
    </row>
    <row r="54" spans="1:2" ht="27.75" customHeight="1" x14ac:dyDescent="0.25">
      <c r="A54" s="1"/>
      <c r="B54" s="1"/>
    </row>
    <row r="55" spans="1:2" ht="27.75" customHeight="1" x14ac:dyDescent="0.25">
      <c r="A55" s="1"/>
      <c r="B55" s="1"/>
    </row>
    <row r="56" spans="1:2" ht="27.75" customHeight="1" x14ac:dyDescent="0.25">
      <c r="A56" s="1"/>
      <c r="B56" s="1"/>
    </row>
    <row r="57" spans="1:2" ht="27.75" customHeight="1" x14ac:dyDescent="0.25">
      <c r="A57" s="1"/>
      <c r="B57" s="1"/>
    </row>
    <row r="58" spans="1:2" ht="27.75" customHeight="1" x14ac:dyDescent="0.25">
      <c r="A58" s="1"/>
      <c r="B58" s="1"/>
    </row>
    <row r="59" spans="1:2" ht="27.75" customHeight="1" x14ac:dyDescent="0.25">
      <c r="A59" s="1"/>
      <c r="B59" s="1"/>
    </row>
    <row r="60" spans="1:2" ht="27.75" customHeight="1" x14ac:dyDescent="0.25">
      <c r="A60" s="1"/>
      <c r="B60" s="1"/>
    </row>
    <row r="61" spans="1:2" ht="27.75" customHeight="1" x14ac:dyDescent="0.25">
      <c r="A61" s="1"/>
      <c r="B61" s="1"/>
    </row>
    <row r="62" spans="1:2" ht="27.75" customHeight="1" x14ac:dyDescent="0.25">
      <c r="A62" s="1"/>
      <c r="B62" s="1"/>
    </row>
    <row r="63" spans="1:2" ht="27.75" customHeight="1" x14ac:dyDescent="0.25">
      <c r="A63" s="1"/>
      <c r="B63" s="1"/>
    </row>
    <row r="64" spans="1:2" ht="27.75" customHeight="1" x14ac:dyDescent="0.25">
      <c r="A64" s="1"/>
      <c r="B64" s="1"/>
    </row>
    <row r="65" spans="1:2" ht="27.75" customHeight="1" x14ac:dyDescent="0.25">
      <c r="A65" s="1"/>
      <c r="B65" s="1"/>
    </row>
    <row r="66" spans="1:2" ht="27.75" customHeight="1" x14ac:dyDescent="0.25">
      <c r="A66" s="1"/>
      <c r="B66" s="1"/>
    </row>
    <row r="67" spans="1:2" ht="27.75" customHeight="1" x14ac:dyDescent="0.25">
      <c r="A67" s="1"/>
      <c r="B67" s="1"/>
    </row>
    <row r="68" spans="1:2" ht="27.75" customHeight="1" x14ac:dyDescent="0.25">
      <c r="A68" s="1"/>
      <c r="B68" s="1"/>
    </row>
    <row r="69" spans="1:2" ht="27.75" customHeight="1" x14ac:dyDescent="0.25">
      <c r="A69" s="1"/>
      <c r="B69" s="1"/>
    </row>
    <row r="70" spans="1:2" ht="27.75" customHeight="1" x14ac:dyDescent="0.25">
      <c r="A70" s="1"/>
      <c r="B70" s="1"/>
    </row>
    <row r="71" spans="1:2" ht="27.75" customHeight="1" x14ac:dyDescent="0.25">
      <c r="A71" s="1"/>
      <c r="B71" s="1"/>
    </row>
    <row r="72" spans="1:2" ht="27.75" customHeight="1" x14ac:dyDescent="0.25">
      <c r="A72" s="1"/>
      <c r="B72" s="1"/>
    </row>
    <row r="73" spans="1:2" ht="27.75" customHeight="1" x14ac:dyDescent="0.25">
      <c r="A73" s="1"/>
      <c r="B73" s="1"/>
    </row>
    <row r="74" spans="1:2" ht="27.75" customHeight="1" x14ac:dyDescent="0.25">
      <c r="A74" s="1"/>
      <c r="B74" s="1"/>
    </row>
    <row r="75" spans="1:2" ht="27.75" customHeight="1" x14ac:dyDescent="0.25">
      <c r="A75" s="1"/>
      <c r="B75" s="1"/>
    </row>
    <row r="76" spans="1:2" ht="27.75" customHeight="1" x14ac:dyDescent="0.25">
      <c r="A76" s="1"/>
      <c r="B76" s="1"/>
    </row>
    <row r="77" spans="1:2" ht="27.75" customHeight="1" x14ac:dyDescent="0.25">
      <c r="A77" s="1"/>
      <c r="B77" s="1"/>
    </row>
    <row r="78" spans="1:2" ht="27.75" customHeight="1" x14ac:dyDescent="0.25">
      <c r="A78" s="1"/>
      <c r="B78" s="1"/>
    </row>
    <row r="79" spans="1:2" ht="27.75" customHeight="1" x14ac:dyDescent="0.25">
      <c r="A79" s="1"/>
      <c r="B79" s="1"/>
    </row>
    <row r="80" spans="1:2" ht="27.75" customHeight="1" x14ac:dyDescent="0.25">
      <c r="A80" s="1"/>
      <c r="B80" s="1"/>
    </row>
    <row r="81" spans="1:2" ht="27.75" customHeight="1" x14ac:dyDescent="0.25">
      <c r="A81" s="1"/>
      <c r="B81" s="1"/>
    </row>
    <row r="82" spans="1:2" ht="27.75" customHeight="1" x14ac:dyDescent="0.25">
      <c r="A82" s="1"/>
      <c r="B82" s="1"/>
    </row>
    <row r="83" spans="1:2" ht="27.75" customHeight="1" x14ac:dyDescent="0.25">
      <c r="A83" s="1"/>
      <c r="B83" s="1"/>
    </row>
    <row r="84" spans="1:2" ht="27.75" customHeight="1" x14ac:dyDescent="0.25">
      <c r="A84" s="1"/>
      <c r="B84" s="1"/>
    </row>
    <row r="85" spans="1:2" ht="27.75" customHeight="1" x14ac:dyDescent="0.25">
      <c r="A85" s="1"/>
      <c r="B85" s="1"/>
    </row>
    <row r="86" spans="1:2" ht="27.75" customHeight="1" x14ac:dyDescent="0.25">
      <c r="A86" s="1"/>
      <c r="B86" s="1"/>
    </row>
    <row r="87" spans="1:2" ht="27.75" customHeight="1" x14ac:dyDescent="0.25">
      <c r="A87" s="1"/>
      <c r="B87" s="1"/>
    </row>
    <row r="88" spans="1:2" ht="27.75" customHeight="1" x14ac:dyDescent="0.25">
      <c r="A88" s="1"/>
      <c r="B88" s="1"/>
    </row>
    <row r="89" spans="1:2" ht="27.75" customHeight="1" x14ac:dyDescent="0.25">
      <c r="A89" s="1"/>
      <c r="B89" s="1"/>
    </row>
    <row r="90" spans="1:2" ht="27.75" customHeight="1" x14ac:dyDescent="0.25">
      <c r="A90" s="1"/>
      <c r="B90" s="1"/>
    </row>
    <row r="91" spans="1:2" ht="27.75" customHeight="1" x14ac:dyDescent="0.25">
      <c r="A91" s="1"/>
      <c r="B91" s="1"/>
    </row>
    <row r="92" spans="1:2" ht="27.75" customHeight="1" x14ac:dyDescent="0.25">
      <c r="A92" s="1"/>
      <c r="B92" s="1"/>
    </row>
    <row r="93" spans="1:2" ht="27.75" customHeight="1" x14ac:dyDescent="0.25">
      <c r="A93" s="1"/>
      <c r="B93" s="1"/>
    </row>
    <row r="94" spans="1:2" ht="27.75" customHeight="1" x14ac:dyDescent="0.25">
      <c r="A94" s="1"/>
      <c r="B94" s="1"/>
    </row>
    <row r="95" spans="1:2" ht="27.75" customHeight="1" x14ac:dyDescent="0.25">
      <c r="A95" s="1"/>
      <c r="B95" s="1"/>
    </row>
    <row r="96" spans="1:2" ht="27.75" customHeight="1" x14ac:dyDescent="0.25">
      <c r="A96" s="1"/>
      <c r="B96" s="1"/>
    </row>
    <row r="97" spans="1:2" ht="27.75" customHeight="1" x14ac:dyDescent="0.25">
      <c r="A97" s="1"/>
      <c r="B97" s="1"/>
    </row>
    <row r="98" spans="1:2" ht="27.75" customHeight="1" x14ac:dyDescent="0.25">
      <c r="A98" s="1"/>
      <c r="B98" s="1"/>
    </row>
    <row r="99" spans="1:2" ht="27.75" customHeight="1" x14ac:dyDescent="0.25">
      <c r="A99" s="1"/>
      <c r="B99" s="1"/>
    </row>
    <row r="100" spans="1:2" ht="27.75" customHeight="1" x14ac:dyDescent="0.25">
      <c r="A100" s="1"/>
      <c r="B100" s="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D5D3-97AF-4632-8EC4-BEB0EDCE49CB}">
  <dimension ref="A1:E322"/>
  <sheetViews>
    <sheetView workbookViewId="0">
      <selection activeCell="L11" sqref="L11"/>
    </sheetView>
  </sheetViews>
  <sheetFormatPr defaultRowHeight="15" x14ac:dyDescent="0.25"/>
  <cols>
    <col min="1" max="1" width="11.42578125" bestFit="1" customWidth="1"/>
    <col min="2" max="2" width="6.140625" customWidth="1"/>
    <col min="3" max="3" width="9.85546875" customWidth="1"/>
    <col min="4" max="4" width="12.140625" customWidth="1"/>
  </cols>
  <sheetData>
    <row r="1" spans="1:5" x14ac:dyDescent="0.25">
      <c r="A1" t="s">
        <v>110</v>
      </c>
      <c r="B1" t="s">
        <v>111</v>
      </c>
      <c r="C1" t="s">
        <v>112</v>
      </c>
      <c r="D1" t="s">
        <v>113</v>
      </c>
      <c r="E1" t="s">
        <v>114</v>
      </c>
    </row>
    <row r="2" spans="1:5" x14ac:dyDescent="0.25">
      <c r="A2" t="s">
        <v>5</v>
      </c>
      <c r="B2">
        <v>2</v>
      </c>
      <c r="C2">
        <v>1</v>
      </c>
      <c r="D2" t="s">
        <v>70</v>
      </c>
      <c r="E2" t="str">
        <f>Tabela2[[#This Row],[Curso]]&amp;Tabela2[[#This Row],[Dia]]&amp;Tabela2[[#This Row],[Horário]]</f>
        <v>CCO121</v>
      </c>
    </row>
    <row r="3" spans="1:5" x14ac:dyDescent="0.25">
      <c r="A3" t="s">
        <v>5</v>
      </c>
      <c r="B3">
        <v>4</v>
      </c>
      <c r="C3">
        <v>1</v>
      </c>
      <c r="D3" t="s">
        <v>65</v>
      </c>
      <c r="E3" t="str">
        <f>Tabela2[[#This Row],[Curso]]&amp;Tabela2[[#This Row],[Dia]]&amp;Tabela2[[#This Row],[Horário]]</f>
        <v>CCO141</v>
      </c>
    </row>
    <row r="4" spans="1:5" x14ac:dyDescent="0.25">
      <c r="A4" t="s">
        <v>5</v>
      </c>
      <c r="B4">
        <v>2</v>
      </c>
      <c r="C4">
        <v>2</v>
      </c>
      <c r="D4" t="s">
        <v>70</v>
      </c>
      <c r="E4" t="str">
        <f>Tabela2[[#This Row],[Curso]]&amp;Tabela2[[#This Row],[Dia]]&amp;Tabela2[[#This Row],[Horário]]</f>
        <v>CCO122</v>
      </c>
    </row>
    <row r="5" spans="1:5" x14ac:dyDescent="0.25">
      <c r="A5" t="s">
        <v>5</v>
      </c>
      <c r="B5">
        <v>4</v>
      </c>
      <c r="C5">
        <v>2</v>
      </c>
      <c r="D5" t="s">
        <v>65</v>
      </c>
      <c r="E5" t="str">
        <f>Tabela2[[#This Row],[Curso]]&amp;Tabela2[[#This Row],[Dia]]&amp;Tabela2[[#This Row],[Horário]]</f>
        <v>CCO142</v>
      </c>
    </row>
    <row r="6" spans="1:5" x14ac:dyDescent="0.25">
      <c r="A6" t="s">
        <v>5</v>
      </c>
      <c r="B6">
        <v>1</v>
      </c>
      <c r="C6">
        <v>4</v>
      </c>
      <c r="D6" t="s">
        <v>55</v>
      </c>
      <c r="E6" t="str">
        <f>Tabela2[[#This Row],[Curso]]&amp;Tabela2[[#This Row],[Dia]]&amp;Tabela2[[#This Row],[Horário]]</f>
        <v>CCO114</v>
      </c>
    </row>
    <row r="7" spans="1:5" x14ac:dyDescent="0.25">
      <c r="A7" t="s">
        <v>5</v>
      </c>
      <c r="B7">
        <v>4</v>
      </c>
      <c r="C7">
        <v>4</v>
      </c>
      <c r="D7" t="s">
        <v>69</v>
      </c>
      <c r="E7" t="str">
        <f>Tabela2[[#This Row],[Curso]]&amp;Tabela2[[#This Row],[Dia]]&amp;Tabela2[[#This Row],[Horário]]</f>
        <v>CCO144</v>
      </c>
    </row>
    <row r="8" spans="1:5" x14ac:dyDescent="0.25">
      <c r="A8" t="s">
        <v>5</v>
      </c>
      <c r="B8">
        <v>1</v>
      </c>
      <c r="C8">
        <v>5</v>
      </c>
      <c r="D8" t="s">
        <v>55</v>
      </c>
      <c r="E8" t="str">
        <f>Tabela2[[#This Row],[Curso]]&amp;Tabela2[[#This Row],[Dia]]&amp;Tabela2[[#This Row],[Horário]]</f>
        <v>CCO115</v>
      </c>
    </row>
    <row r="9" spans="1:5" x14ac:dyDescent="0.25">
      <c r="A9" t="s">
        <v>5</v>
      </c>
      <c r="B9">
        <v>4</v>
      </c>
      <c r="C9">
        <v>5</v>
      </c>
      <c r="D9" t="s">
        <v>69</v>
      </c>
      <c r="E9" t="str">
        <f>Tabela2[[#This Row],[Curso]]&amp;Tabela2[[#This Row],[Dia]]&amp;Tabela2[[#This Row],[Horário]]</f>
        <v>CCO145</v>
      </c>
    </row>
    <row r="10" spans="1:5" x14ac:dyDescent="0.25">
      <c r="A10" t="s">
        <v>5</v>
      </c>
      <c r="B10">
        <v>5</v>
      </c>
      <c r="C10">
        <v>5</v>
      </c>
      <c r="D10" t="s">
        <v>55</v>
      </c>
      <c r="E10" t="str">
        <f>Tabela2[[#This Row],[Curso]]&amp;Tabela2[[#This Row],[Dia]]&amp;Tabela2[[#This Row],[Horário]]</f>
        <v>CCO155</v>
      </c>
    </row>
    <row r="11" spans="1:5" x14ac:dyDescent="0.25">
      <c r="A11" t="s">
        <v>5</v>
      </c>
      <c r="B11">
        <v>5</v>
      </c>
      <c r="C11">
        <v>6</v>
      </c>
      <c r="D11" t="s">
        <v>55</v>
      </c>
      <c r="E11" t="str">
        <f>Tabela2[[#This Row],[Curso]]&amp;Tabela2[[#This Row],[Dia]]&amp;Tabela2[[#This Row],[Horário]]</f>
        <v>CCO156</v>
      </c>
    </row>
    <row r="12" spans="1:5" x14ac:dyDescent="0.25">
      <c r="A12" t="s">
        <v>5</v>
      </c>
      <c r="B12">
        <v>1</v>
      </c>
      <c r="C12">
        <v>7</v>
      </c>
      <c r="D12" t="s">
        <v>65</v>
      </c>
      <c r="E12" t="str">
        <f>Tabela2[[#This Row],[Curso]]&amp;Tabela2[[#This Row],[Dia]]&amp;Tabela2[[#This Row],[Horário]]</f>
        <v>CCO117</v>
      </c>
    </row>
    <row r="13" spans="1:5" x14ac:dyDescent="0.25">
      <c r="A13" t="s">
        <v>5</v>
      </c>
      <c r="B13">
        <v>2</v>
      </c>
      <c r="C13">
        <v>7</v>
      </c>
      <c r="D13" t="s">
        <v>69</v>
      </c>
      <c r="E13" t="str">
        <f>Tabela2[[#This Row],[Curso]]&amp;Tabela2[[#This Row],[Dia]]&amp;Tabela2[[#This Row],[Horário]]</f>
        <v>CCO127</v>
      </c>
    </row>
    <row r="14" spans="1:5" x14ac:dyDescent="0.25">
      <c r="A14" t="s">
        <v>5</v>
      </c>
      <c r="B14">
        <v>1</v>
      </c>
      <c r="C14">
        <v>8</v>
      </c>
      <c r="D14" t="s">
        <v>65</v>
      </c>
      <c r="E14" t="str">
        <f>Tabela2[[#This Row],[Curso]]&amp;Tabela2[[#This Row],[Dia]]&amp;Tabela2[[#This Row],[Horário]]</f>
        <v>CCO118</v>
      </c>
    </row>
    <row r="15" spans="1:5" x14ac:dyDescent="0.25">
      <c r="A15" t="s">
        <v>5</v>
      </c>
      <c r="B15">
        <v>2</v>
      </c>
      <c r="C15">
        <v>8</v>
      </c>
      <c r="D15" t="s">
        <v>69</v>
      </c>
      <c r="E15" t="str">
        <f>Tabela2[[#This Row],[Curso]]&amp;Tabela2[[#This Row],[Dia]]&amp;Tabela2[[#This Row],[Horário]]</f>
        <v>CCO128</v>
      </c>
    </row>
    <row r="16" spans="1:5" x14ac:dyDescent="0.25">
      <c r="A16" t="s">
        <v>5</v>
      </c>
      <c r="B16">
        <v>3</v>
      </c>
      <c r="C16">
        <v>8</v>
      </c>
      <c r="D16" t="s">
        <v>30</v>
      </c>
      <c r="E16" t="str">
        <f>Tabela2[[#This Row],[Curso]]&amp;Tabela2[[#This Row],[Dia]]&amp;Tabela2[[#This Row],[Horário]]</f>
        <v>CCO138</v>
      </c>
    </row>
    <row r="17" spans="1:5" x14ac:dyDescent="0.25">
      <c r="A17" t="s">
        <v>5</v>
      </c>
      <c r="B17">
        <v>3</v>
      </c>
      <c r="C17">
        <v>9</v>
      </c>
      <c r="D17" t="s">
        <v>30</v>
      </c>
      <c r="E17" t="str">
        <f>Tabela2[[#This Row],[Curso]]&amp;Tabela2[[#This Row],[Dia]]&amp;Tabela2[[#This Row],[Horário]]</f>
        <v>CCO139</v>
      </c>
    </row>
    <row r="18" spans="1:5" x14ac:dyDescent="0.25">
      <c r="A18" t="s">
        <v>5</v>
      </c>
      <c r="B18">
        <v>5</v>
      </c>
      <c r="C18">
        <v>9</v>
      </c>
      <c r="D18" t="s">
        <v>30</v>
      </c>
      <c r="E18" t="str">
        <f>Tabela2[[#This Row],[Curso]]&amp;Tabela2[[#This Row],[Dia]]&amp;Tabela2[[#This Row],[Horário]]</f>
        <v>CCO159</v>
      </c>
    </row>
    <row r="19" spans="1:5" x14ac:dyDescent="0.25">
      <c r="A19" t="s">
        <v>5</v>
      </c>
      <c r="B19">
        <v>5</v>
      </c>
      <c r="C19">
        <v>10</v>
      </c>
      <c r="D19" t="s">
        <v>30</v>
      </c>
      <c r="E19" t="str">
        <f>Tabela2[[#This Row],[Curso]]&amp;Tabela2[[#This Row],[Dia]]&amp;Tabela2[[#This Row],[Horário]]</f>
        <v>CCO1510</v>
      </c>
    </row>
    <row r="20" spans="1:5" x14ac:dyDescent="0.25">
      <c r="A20" t="s">
        <v>9</v>
      </c>
      <c r="B20">
        <v>4</v>
      </c>
      <c r="C20">
        <v>1</v>
      </c>
      <c r="D20" t="s">
        <v>60</v>
      </c>
      <c r="E20" t="str">
        <f>Tabela2[[#This Row],[Curso]]&amp;Tabela2[[#This Row],[Dia]]&amp;Tabela2[[#This Row],[Horário]]</f>
        <v>CCO241</v>
      </c>
    </row>
    <row r="21" spans="1:5" x14ac:dyDescent="0.25">
      <c r="A21" t="s">
        <v>9</v>
      </c>
      <c r="B21">
        <v>2</v>
      </c>
      <c r="C21">
        <v>2</v>
      </c>
      <c r="D21" t="s">
        <v>50</v>
      </c>
      <c r="E21" t="str">
        <f>Tabela2[[#This Row],[Curso]]&amp;Tabela2[[#This Row],[Dia]]&amp;Tabela2[[#This Row],[Horário]]</f>
        <v>CCO222</v>
      </c>
    </row>
    <row r="22" spans="1:5" x14ac:dyDescent="0.25">
      <c r="A22" t="s">
        <v>9</v>
      </c>
      <c r="B22">
        <v>4</v>
      </c>
      <c r="C22">
        <v>2</v>
      </c>
      <c r="D22" t="s">
        <v>60</v>
      </c>
      <c r="E22" t="str">
        <f>Tabela2[[#This Row],[Curso]]&amp;Tabela2[[#This Row],[Dia]]&amp;Tabela2[[#This Row],[Horário]]</f>
        <v>CCO242</v>
      </c>
    </row>
    <row r="23" spans="1:5" x14ac:dyDescent="0.25">
      <c r="A23" t="s">
        <v>9</v>
      </c>
      <c r="B23">
        <v>1</v>
      </c>
      <c r="C23">
        <v>3</v>
      </c>
      <c r="D23" t="s">
        <v>50</v>
      </c>
      <c r="E23" t="str">
        <f>Tabela2[[#This Row],[Curso]]&amp;Tabela2[[#This Row],[Dia]]&amp;Tabela2[[#This Row],[Horário]]</f>
        <v>CCO213</v>
      </c>
    </row>
    <row r="24" spans="1:5" x14ac:dyDescent="0.25">
      <c r="A24" t="s">
        <v>9</v>
      </c>
      <c r="B24">
        <v>2</v>
      </c>
      <c r="C24">
        <v>3</v>
      </c>
      <c r="D24" t="s">
        <v>50</v>
      </c>
      <c r="E24" t="str">
        <f>Tabela2[[#This Row],[Curso]]&amp;Tabela2[[#This Row],[Dia]]&amp;Tabela2[[#This Row],[Horário]]</f>
        <v>CCO223</v>
      </c>
    </row>
    <row r="25" spans="1:5" x14ac:dyDescent="0.25">
      <c r="A25" t="s">
        <v>9</v>
      </c>
      <c r="B25">
        <v>3</v>
      </c>
      <c r="C25">
        <v>3</v>
      </c>
      <c r="D25" t="s">
        <v>60</v>
      </c>
      <c r="E25" t="str">
        <f>Tabela2[[#This Row],[Curso]]&amp;Tabela2[[#This Row],[Dia]]&amp;Tabela2[[#This Row],[Horário]]</f>
        <v>CCO233</v>
      </c>
    </row>
    <row r="26" spans="1:5" x14ac:dyDescent="0.25">
      <c r="A26" t="s">
        <v>9</v>
      </c>
      <c r="B26">
        <v>1</v>
      </c>
      <c r="C26">
        <v>4</v>
      </c>
      <c r="D26" t="s">
        <v>50</v>
      </c>
      <c r="E26" t="str">
        <f>Tabela2[[#This Row],[Curso]]&amp;Tabela2[[#This Row],[Dia]]&amp;Tabela2[[#This Row],[Horário]]</f>
        <v>CCO214</v>
      </c>
    </row>
    <row r="27" spans="1:5" x14ac:dyDescent="0.25">
      <c r="A27" t="s">
        <v>9</v>
      </c>
      <c r="B27">
        <v>2</v>
      </c>
      <c r="C27">
        <v>4</v>
      </c>
      <c r="D27" t="s">
        <v>57</v>
      </c>
      <c r="E27" t="str">
        <f>Tabela2[[#This Row],[Curso]]&amp;Tabela2[[#This Row],[Dia]]&amp;Tabela2[[#This Row],[Horário]]</f>
        <v>CCO224</v>
      </c>
    </row>
    <row r="28" spans="1:5" x14ac:dyDescent="0.25">
      <c r="A28" t="s">
        <v>9</v>
      </c>
      <c r="B28">
        <v>3</v>
      </c>
      <c r="C28">
        <v>4</v>
      </c>
      <c r="D28" t="s">
        <v>60</v>
      </c>
      <c r="E28" t="str">
        <f>Tabela2[[#This Row],[Curso]]&amp;Tabela2[[#This Row],[Dia]]&amp;Tabela2[[#This Row],[Horário]]</f>
        <v>CCO234</v>
      </c>
    </row>
    <row r="29" spans="1:5" x14ac:dyDescent="0.25">
      <c r="A29" t="s">
        <v>9</v>
      </c>
      <c r="B29">
        <v>1</v>
      </c>
      <c r="C29">
        <v>5</v>
      </c>
      <c r="D29" t="s">
        <v>51</v>
      </c>
      <c r="E29" t="str">
        <f>Tabela2[[#This Row],[Curso]]&amp;Tabela2[[#This Row],[Dia]]&amp;Tabela2[[#This Row],[Horário]]</f>
        <v>CCO215</v>
      </c>
    </row>
    <row r="30" spans="1:5" x14ac:dyDescent="0.25">
      <c r="A30" t="s">
        <v>9</v>
      </c>
      <c r="B30">
        <v>4</v>
      </c>
      <c r="C30">
        <v>5</v>
      </c>
      <c r="D30" t="s">
        <v>51</v>
      </c>
      <c r="E30" t="str">
        <f>Tabela2[[#This Row],[Curso]]&amp;Tabela2[[#This Row],[Dia]]&amp;Tabela2[[#This Row],[Horário]]</f>
        <v>CCO245</v>
      </c>
    </row>
    <row r="31" spans="1:5" x14ac:dyDescent="0.25">
      <c r="A31" t="s">
        <v>9</v>
      </c>
      <c r="B31">
        <v>1</v>
      </c>
      <c r="C31">
        <v>6</v>
      </c>
      <c r="D31" t="s">
        <v>51</v>
      </c>
      <c r="E31" t="str">
        <f>Tabela2[[#This Row],[Curso]]&amp;Tabela2[[#This Row],[Dia]]&amp;Tabela2[[#This Row],[Horário]]</f>
        <v>CCO216</v>
      </c>
    </row>
    <row r="32" spans="1:5" x14ac:dyDescent="0.25">
      <c r="A32" t="s">
        <v>9</v>
      </c>
      <c r="B32">
        <v>4</v>
      </c>
      <c r="C32">
        <v>6</v>
      </c>
      <c r="D32" t="s">
        <v>51</v>
      </c>
      <c r="E32" t="str">
        <f>Tabela2[[#This Row],[Curso]]&amp;Tabela2[[#This Row],[Dia]]&amp;Tabela2[[#This Row],[Horário]]</f>
        <v>CCO246</v>
      </c>
    </row>
    <row r="33" spans="1:5" x14ac:dyDescent="0.25">
      <c r="A33" t="s">
        <v>9</v>
      </c>
      <c r="B33">
        <v>1</v>
      </c>
      <c r="C33">
        <v>9</v>
      </c>
      <c r="D33" t="s">
        <v>57</v>
      </c>
      <c r="E33" t="str">
        <f>Tabela2[[#This Row],[Curso]]&amp;Tabela2[[#This Row],[Dia]]&amp;Tabela2[[#This Row],[Horário]]</f>
        <v>CCO219</v>
      </c>
    </row>
    <row r="34" spans="1:5" x14ac:dyDescent="0.25">
      <c r="A34" t="s">
        <v>9</v>
      </c>
      <c r="B34">
        <v>2</v>
      </c>
      <c r="C34">
        <v>9</v>
      </c>
      <c r="D34" t="s">
        <v>26</v>
      </c>
      <c r="E34" t="str">
        <f>Tabela2[[#This Row],[Curso]]&amp;Tabela2[[#This Row],[Dia]]&amp;Tabela2[[#This Row],[Horário]]</f>
        <v>CCO229</v>
      </c>
    </row>
    <row r="35" spans="1:5" x14ac:dyDescent="0.25">
      <c r="A35" t="s">
        <v>9</v>
      </c>
      <c r="B35">
        <v>4</v>
      </c>
      <c r="C35">
        <v>9</v>
      </c>
      <c r="D35" t="s">
        <v>26</v>
      </c>
      <c r="E35" t="str">
        <f>Tabela2[[#This Row],[Curso]]&amp;Tabela2[[#This Row],[Dia]]&amp;Tabela2[[#This Row],[Horário]]</f>
        <v>CCO249</v>
      </c>
    </row>
    <row r="36" spans="1:5" x14ac:dyDescent="0.25">
      <c r="A36" t="s">
        <v>9</v>
      </c>
      <c r="B36">
        <v>1</v>
      </c>
      <c r="C36">
        <v>10</v>
      </c>
      <c r="D36" t="s">
        <v>57</v>
      </c>
      <c r="E36" t="str">
        <f>Tabela2[[#This Row],[Curso]]&amp;Tabela2[[#This Row],[Dia]]&amp;Tabela2[[#This Row],[Horário]]</f>
        <v>CCO2110</v>
      </c>
    </row>
    <row r="37" spans="1:5" x14ac:dyDescent="0.25">
      <c r="A37" t="s">
        <v>9</v>
      </c>
      <c r="B37">
        <v>2</v>
      </c>
      <c r="C37">
        <v>10</v>
      </c>
      <c r="D37" t="s">
        <v>26</v>
      </c>
      <c r="E37" t="str">
        <f>Tabela2[[#This Row],[Curso]]&amp;Tabela2[[#This Row],[Dia]]&amp;Tabela2[[#This Row],[Horário]]</f>
        <v>CCO2210</v>
      </c>
    </row>
    <row r="38" spans="1:5" x14ac:dyDescent="0.25">
      <c r="A38" t="s">
        <v>9</v>
      </c>
      <c r="B38">
        <v>4</v>
      </c>
      <c r="C38">
        <v>10</v>
      </c>
      <c r="D38" t="s">
        <v>26</v>
      </c>
      <c r="E38" t="str">
        <f>Tabela2[[#This Row],[Curso]]&amp;Tabela2[[#This Row],[Dia]]&amp;Tabela2[[#This Row],[Horário]]</f>
        <v>CCO2410</v>
      </c>
    </row>
    <row r="39" spans="1:5" x14ac:dyDescent="0.25">
      <c r="A39" t="s">
        <v>8</v>
      </c>
      <c r="B39">
        <v>3</v>
      </c>
      <c r="C39">
        <v>1</v>
      </c>
      <c r="D39" t="s">
        <v>32</v>
      </c>
      <c r="E39" t="str">
        <f>Tabela2[[#This Row],[Curso]]&amp;Tabela2[[#This Row],[Dia]]&amp;Tabela2[[#This Row],[Horário]]</f>
        <v>CCO331</v>
      </c>
    </row>
    <row r="40" spans="1:5" x14ac:dyDescent="0.25">
      <c r="A40" t="s">
        <v>8</v>
      </c>
      <c r="B40">
        <v>4</v>
      </c>
      <c r="C40">
        <v>1</v>
      </c>
      <c r="D40" t="s">
        <v>53</v>
      </c>
      <c r="E40" t="str">
        <f>Tabela2[[#This Row],[Curso]]&amp;Tabela2[[#This Row],[Dia]]&amp;Tabela2[[#This Row],[Horário]]</f>
        <v>CCO341</v>
      </c>
    </row>
    <row r="41" spans="1:5" x14ac:dyDescent="0.25">
      <c r="A41" t="s">
        <v>8</v>
      </c>
      <c r="B41">
        <v>3</v>
      </c>
      <c r="C41">
        <v>2</v>
      </c>
      <c r="D41" t="s">
        <v>32</v>
      </c>
      <c r="E41" t="str">
        <f>Tabela2[[#This Row],[Curso]]&amp;Tabela2[[#This Row],[Dia]]&amp;Tabela2[[#This Row],[Horário]]</f>
        <v>CCO332</v>
      </c>
    </row>
    <row r="42" spans="1:5" x14ac:dyDescent="0.25">
      <c r="A42" t="s">
        <v>8</v>
      </c>
      <c r="B42">
        <v>4</v>
      </c>
      <c r="C42">
        <v>2</v>
      </c>
      <c r="D42" t="s">
        <v>53</v>
      </c>
      <c r="E42" t="str">
        <f>Tabela2[[#This Row],[Curso]]&amp;Tabela2[[#This Row],[Dia]]&amp;Tabela2[[#This Row],[Horário]]</f>
        <v>CCO342</v>
      </c>
    </row>
    <row r="43" spans="1:5" x14ac:dyDescent="0.25">
      <c r="A43" t="s">
        <v>8</v>
      </c>
      <c r="B43">
        <v>4</v>
      </c>
      <c r="C43">
        <v>3</v>
      </c>
      <c r="D43" t="s">
        <v>32</v>
      </c>
      <c r="E43" t="str">
        <f>Tabela2[[#This Row],[Curso]]&amp;Tabela2[[#This Row],[Dia]]&amp;Tabela2[[#This Row],[Horário]]</f>
        <v>CCO343</v>
      </c>
    </row>
    <row r="44" spans="1:5" x14ac:dyDescent="0.25">
      <c r="A44" t="s">
        <v>8</v>
      </c>
      <c r="B44">
        <v>1</v>
      </c>
      <c r="C44">
        <v>4</v>
      </c>
      <c r="D44" t="s">
        <v>37</v>
      </c>
      <c r="E44" t="str">
        <f>Tabela2[[#This Row],[Curso]]&amp;Tabela2[[#This Row],[Dia]]&amp;Tabela2[[#This Row],[Horário]]</f>
        <v>CCO314</v>
      </c>
    </row>
    <row r="45" spans="1:5" x14ac:dyDescent="0.25">
      <c r="A45" t="s">
        <v>8</v>
      </c>
      <c r="B45">
        <v>4</v>
      </c>
      <c r="C45">
        <v>4</v>
      </c>
      <c r="D45" t="s">
        <v>32</v>
      </c>
      <c r="E45" t="str">
        <f>Tabela2[[#This Row],[Curso]]&amp;Tabela2[[#This Row],[Dia]]&amp;Tabela2[[#This Row],[Horário]]</f>
        <v>CCO344</v>
      </c>
    </row>
    <row r="46" spans="1:5" x14ac:dyDescent="0.25">
      <c r="A46" t="s">
        <v>8</v>
      </c>
      <c r="B46">
        <v>1</v>
      </c>
      <c r="C46">
        <v>5</v>
      </c>
      <c r="D46" t="s">
        <v>37</v>
      </c>
      <c r="E46" t="str">
        <f>Tabela2[[#This Row],[Curso]]&amp;Tabela2[[#This Row],[Dia]]&amp;Tabela2[[#This Row],[Horário]]</f>
        <v>CCO315</v>
      </c>
    </row>
    <row r="47" spans="1:5" x14ac:dyDescent="0.25">
      <c r="A47" t="s">
        <v>8</v>
      </c>
      <c r="B47">
        <v>3</v>
      </c>
      <c r="C47">
        <v>5</v>
      </c>
      <c r="D47" t="s">
        <v>37</v>
      </c>
      <c r="E47" t="str">
        <f>Tabela2[[#This Row],[Curso]]&amp;Tabela2[[#This Row],[Dia]]&amp;Tabela2[[#This Row],[Horário]]</f>
        <v>CCO335</v>
      </c>
    </row>
    <row r="48" spans="1:5" x14ac:dyDescent="0.25">
      <c r="A48" t="s">
        <v>8</v>
      </c>
      <c r="B48">
        <v>3</v>
      </c>
      <c r="C48">
        <v>6</v>
      </c>
      <c r="D48" t="s">
        <v>37</v>
      </c>
      <c r="E48" t="str">
        <f>Tabela2[[#This Row],[Curso]]&amp;Tabela2[[#This Row],[Dia]]&amp;Tabela2[[#This Row],[Horário]]</f>
        <v>CCO336</v>
      </c>
    </row>
    <row r="49" spans="1:5" x14ac:dyDescent="0.25">
      <c r="A49" t="s">
        <v>8</v>
      </c>
      <c r="B49">
        <v>4</v>
      </c>
      <c r="C49">
        <v>6</v>
      </c>
      <c r="D49" t="s">
        <v>40</v>
      </c>
      <c r="E49" t="str">
        <f>Tabela2[[#This Row],[Curso]]&amp;Tabela2[[#This Row],[Dia]]&amp;Tabela2[[#This Row],[Horário]]</f>
        <v>CCO346</v>
      </c>
    </row>
    <row r="50" spans="1:5" x14ac:dyDescent="0.25">
      <c r="A50" t="s">
        <v>8</v>
      </c>
      <c r="B50">
        <v>4</v>
      </c>
      <c r="C50">
        <v>7</v>
      </c>
      <c r="D50" t="s">
        <v>40</v>
      </c>
      <c r="E50" t="str">
        <f>Tabela2[[#This Row],[Curso]]&amp;Tabela2[[#This Row],[Dia]]&amp;Tabela2[[#This Row],[Horário]]</f>
        <v>CCO347</v>
      </c>
    </row>
    <row r="51" spans="1:5" x14ac:dyDescent="0.25">
      <c r="A51" t="s">
        <v>8</v>
      </c>
      <c r="B51">
        <v>5</v>
      </c>
      <c r="C51">
        <v>7</v>
      </c>
      <c r="D51" t="s">
        <v>47</v>
      </c>
      <c r="E51" t="str">
        <f>Tabela2[[#This Row],[Curso]]&amp;Tabela2[[#This Row],[Dia]]&amp;Tabela2[[#This Row],[Horário]]</f>
        <v>CCO357</v>
      </c>
    </row>
    <row r="52" spans="1:5" x14ac:dyDescent="0.25">
      <c r="A52" t="s">
        <v>8</v>
      </c>
      <c r="B52">
        <v>5</v>
      </c>
      <c r="C52">
        <v>8</v>
      </c>
      <c r="D52" t="s">
        <v>47</v>
      </c>
      <c r="E52" t="str">
        <f>Tabela2[[#This Row],[Curso]]&amp;Tabela2[[#This Row],[Dia]]&amp;Tabela2[[#This Row],[Horário]]</f>
        <v>CCO358</v>
      </c>
    </row>
    <row r="53" spans="1:5" x14ac:dyDescent="0.25">
      <c r="A53" t="s">
        <v>8</v>
      </c>
      <c r="B53">
        <v>1</v>
      </c>
      <c r="C53">
        <v>9</v>
      </c>
      <c r="D53" t="s">
        <v>43</v>
      </c>
      <c r="E53" t="str">
        <f>Tabela2[[#This Row],[Curso]]&amp;Tabela2[[#This Row],[Dia]]&amp;Tabela2[[#This Row],[Horário]]</f>
        <v>CCO319</v>
      </c>
    </row>
    <row r="54" spans="1:5" x14ac:dyDescent="0.25">
      <c r="A54" t="s">
        <v>8</v>
      </c>
      <c r="B54">
        <v>2</v>
      </c>
      <c r="C54">
        <v>9</v>
      </c>
      <c r="D54" t="s">
        <v>40</v>
      </c>
      <c r="E54" t="str">
        <f>Tabela2[[#This Row],[Curso]]&amp;Tabela2[[#This Row],[Dia]]&amp;Tabela2[[#This Row],[Horário]]</f>
        <v>CCO329</v>
      </c>
    </row>
    <row r="55" spans="1:5" x14ac:dyDescent="0.25">
      <c r="A55" t="s">
        <v>8</v>
      </c>
      <c r="B55">
        <v>3</v>
      </c>
      <c r="C55">
        <v>9</v>
      </c>
      <c r="D55" t="s">
        <v>47</v>
      </c>
      <c r="E55" t="str">
        <f>Tabela2[[#This Row],[Curso]]&amp;Tabela2[[#This Row],[Dia]]&amp;Tabela2[[#This Row],[Horário]]</f>
        <v>CCO339</v>
      </c>
    </row>
    <row r="56" spans="1:5" x14ac:dyDescent="0.25">
      <c r="A56" t="s">
        <v>8</v>
      </c>
      <c r="B56">
        <v>4</v>
      </c>
      <c r="C56">
        <v>9</v>
      </c>
      <c r="D56" t="s">
        <v>43</v>
      </c>
      <c r="E56" t="str">
        <f>Tabela2[[#This Row],[Curso]]&amp;Tabela2[[#This Row],[Dia]]&amp;Tabela2[[#This Row],[Horário]]</f>
        <v>CCO349</v>
      </c>
    </row>
    <row r="57" spans="1:5" x14ac:dyDescent="0.25">
      <c r="A57" t="s">
        <v>8</v>
      </c>
      <c r="B57">
        <v>5</v>
      </c>
      <c r="C57">
        <v>9</v>
      </c>
      <c r="D57" t="s">
        <v>53</v>
      </c>
      <c r="E57" t="str">
        <f>Tabela2[[#This Row],[Curso]]&amp;Tabela2[[#This Row],[Dia]]&amp;Tabela2[[#This Row],[Horário]]</f>
        <v>CCO359</v>
      </c>
    </row>
    <row r="58" spans="1:5" x14ac:dyDescent="0.25">
      <c r="A58" t="s">
        <v>8</v>
      </c>
      <c r="B58">
        <v>1</v>
      </c>
      <c r="C58">
        <v>10</v>
      </c>
      <c r="D58" t="s">
        <v>43</v>
      </c>
      <c r="E58" t="str">
        <f>Tabela2[[#This Row],[Curso]]&amp;Tabela2[[#This Row],[Dia]]&amp;Tabela2[[#This Row],[Horário]]</f>
        <v>CCO3110</v>
      </c>
    </row>
    <row r="59" spans="1:5" x14ac:dyDescent="0.25">
      <c r="A59" t="s">
        <v>8</v>
      </c>
      <c r="B59">
        <v>2</v>
      </c>
      <c r="C59">
        <v>10</v>
      </c>
      <c r="D59" t="s">
        <v>40</v>
      </c>
      <c r="E59" t="str">
        <f>Tabela2[[#This Row],[Curso]]&amp;Tabela2[[#This Row],[Dia]]&amp;Tabela2[[#This Row],[Horário]]</f>
        <v>CCO3210</v>
      </c>
    </row>
    <row r="60" spans="1:5" x14ac:dyDescent="0.25">
      <c r="A60" t="s">
        <v>8</v>
      </c>
      <c r="B60">
        <v>3</v>
      </c>
      <c r="C60">
        <v>10</v>
      </c>
      <c r="D60" t="s">
        <v>47</v>
      </c>
      <c r="E60" t="str">
        <f>Tabela2[[#This Row],[Curso]]&amp;Tabela2[[#This Row],[Dia]]&amp;Tabela2[[#This Row],[Horário]]</f>
        <v>CCO3310</v>
      </c>
    </row>
    <row r="61" spans="1:5" x14ac:dyDescent="0.25">
      <c r="A61" t="s">
        <v>8</v>
      </c>
      <c r="B61">
        <v>4</v>
      </c>
      <c r="C61">
        <v>10</v>
      </c>
      <c r="D61" t="s">
        <v>43</v>
      </c>
      <c r="E61" t="str">
        <f>Tabela2[[#This Row],[Curso]]&amp;Tabela2[[#This Row],[Dia]]&amp;Tabela2[[#This Row],[Horário]]</f>
        <v>CCO3410</v>
      </c>
    </row>
    <row r="62" spans="1:5" x14ac:dyDescent="0.25">
      <c r="A62" t="s">
        <v>8</v>
      </c>
      <c r="B62">
        <v>5</v>
      </c>
      <c r="C62">
        <v>10</v>
      </c>
      <c r="D62" t="s">
        <v>53</v>
      </c>
      <c r="E62" t="str">
        <f>Tabela2[[#This Row],[Curso]]&amp;Tabela2[[#This Row],[Dia]]&amp;Tabela2[[#This Row],[Horário]]</f>
        <v>CCO3510</v>
      </c>
    </row>
    <row r="63" spans="1:5" x14ac:dyDescent="0.25">
      <c r="A63" t="s">
        <v>13</v>
      </c>
      <c r="B63">
        <v>2</v>
      </c>
      <c r="C63">
        <v>1</v>
      </c>
      <c r="D63" t="s">
        <v>29</v>
      </c>
      <c r="E63" t="str">
        <f>Tabela2[[#This Row],[Curso]]&amp;Tabela2[[#This Row],[Dia]]&amp;Tabela2[[#This Row],[Horário]]</f>
        <v>CCO421</v>
      </c>
    </row>
    <row r="64" spans="1:5" x14ac:dyDescent="0.25">
      <c r="A64" t="s">
        <v>13</v>
      </c>
      <c r="B64">
        <v>3</v>
      </c>
      <c r="C64">
        <v>1</v>
      </c>
      <c r="D64" t="s">
        <v>38</v>
      </c>
      <c r="E64" t="str">
        <f>Tabela2[[#This Row],[Curso]]&amp;Tabela2[[#This Row],[Dia]]&amp;Tabela2[[#This Row],[Horário]]</f>
        <v>CCO431</v>
      </c>
    </row>
    <row r="65" spans="1:5" x14ac:dyDescent="0.25">
      <c r="A65" t="s">
        <v>13</v>
      </c>
      <c r="B65">
        <v>4</v>
      </c>
      <c r="C65">
        <v>1</v>
      </c>
      <c r="D65" t="s">
        <v>58</v>
      </c>
      <c r="E65" t="str">
        <f>Tabela2[[#This Row],[Curso]]&amp;Tabela2[[#This Row],[Dia]]&amp;Tabela2[[#This Row],[Horário]]</f>
        <v>CCO441</v>
      </c>
    </row>
    <row r="66" spans="1:5" x14ac:dyDescent="0.25">
      <c r="A66" t="s">
        <v>13</v>
      </c>
      <c r="B66">
        <v>5</v>
      </c>
      <c r="C66">
        <v>1</v>
      </c>
      <c r="D66" t="s">
        <v>38</v>
      </c>
      <c r="E66" t="str">
        <f>Tabela2[[#This Row],[Curso]]&amp;Tabela2[[#This Row],[Dia]]&amp;Tabela2[[#This Row],[Horário]]</f>
        <v>CCO451</v>
      </c>
    </row>
    <row r="67" spans="1:5" x14ac:dyDescent="0.25">
      <c r="A67" t="s">
        <v>13</v>
      </c>
      <c r="B67">
        <v>1</v>
      </c>
      <c r="C67">
        <v>2</v>
      </c>
      <c r="D67" t="s">
        <v>46</v>
      </c>
      <c r="E67" t="str">
        <f>Tabela2[[#This Row],[Curso]]&amp;Tabela2[[#This Row],[Dia]]&amp;Tabela2[[#This Row],[Horário]]</f>
        <v>CCO412</v>
      </c>
    </row>
    <row r="68" spans="1:5" x14ac:dyDescent="0.25">
      <c r="A68" t="s">
        <v>13</v>
      </c>
      <c r="B68">
        <v>2</v>
      </c>
      <c r="C68">
        <v>2</v>
      </c>
      <c r="D68" t="s">
        <v>29</v>
      </c>
      <c r="E68" t="str">
        <f>Tabela2[[#This Row],[Curso]]&amp;Tabela2[[#This Row],[Dia]]&amp;Tabela2[[#This Row],[Horário]]</f>
        <v>CCO422</v>
      </c>
    </row>
    <row r="69" spans="1:5" x14ac:dyDescent="0.25">
      <c r="A69" t="s">
        <v>13</v>
      </c>
      <c r="B69">
        <v>3</v>
      </c>
      <c r="C69">
        <v>2</v>
      </c>
      <c r="D69" t="s">
        <v>36</v>
      </c>
      <c r="E69" t="str">
        <f>Tabela2[[#This Row],[Curso]]&amp;Tabela2[[#This Row],[Dia]]&amp;Tabela2[[#This Row],[Horário]]</f>
        <v>CCO432</v>
      </c>
    </row>
    <row r="70" spans="1:5" x14ac:dyDescent="0.25">
      <c r="A70" t="s">
        <v>13</v>
      </c>
      <c r="B70">
        <v>4</v>
      </c>
      <c r="C70">
        <v>2</v>
      </c>
      <c r="D70" t="s">
        <v>58</v>
      </c>
      <c r="E70" t="str">
        <f>Tabela2[[#This Row],[Curso]]&amp;Tabela2[[#This Row],[Dia]]&amp;Tabela2[[#This Row],[Horário]]</f>
        <v>CCO442</v>
      </c>
    </row>
    <row r="71" spans="1:5" x14ac:dyDescent="0.25">
      <c r="A71" t="s">
        <v>13</v>
      </c>
      <c r="B71">
        <v>1</v>
      </c>
      <c r="C71">
        <v>3</v>
      </c>
      <c r="D71" t="s">
        <v>46</v>
      </c>
      <c r="E71" t="str">
        <f>Tabela2[[#This Row],[Curso]]&amp;Tabela2[[#This Row],[Dia]]&amp;Tabela2[[#This Row],[Horário]]</f>
        <v>CCO413</v>
      </c>
    </row>
    <row r="72" spans="1:5" x14ac:dyDescent="0.25">
      <c r="A72" t="s">
        <v>13</v>
      </c>
      <c r="B72">
        <v>3</v>
      </c>
      <c r="C72">
        <v>3</v>
      </c>
      <c r="D72" t="s">
        <v>36</v>
      </c>
      <c r="E72" t="str">
        <f>Tabela2[[#This Row],[Curso]]&amp;Tabela2[[#This Row],[Dia]]&amp;Tabela2[[#This Row],[Horário]]</f>
        <v>CCO433</v>
      </c>
    </row>
    <row r="73" spans="1:5" x14ac:dyDescent="0.25">
      <c r="A73" t="s">
        <v>13</v>
      </c>
      <c r="B73">
        <v>1</v>
      </c>
      <c r="C73">
        <v>4</v>
      </c>
      <c r="D73" t="s">
        <v>38</v>
      </c>
      <c r="E73" t="str">
        <f>Tabela2[[#This Row],[Curso]]&amp;Tabela2[[#This Row],[Dia]]&amp;Tabela2[[#This Row],[Horário]]</f>
        <v>CCO414</v>
      </c>
    </row>
    <row r="74" spans="1:5" x14ac:dyDescent="0.25">
      <c r="A74" t="s">
        <v>13</v>
      </c>
      <c r="B74">
        <v>5</v>
      </c>
      <c r="C74">
        <v>4</v>
      </c>
      <c r="D74" t="s">
        <v>46</v>
      </c>
      <c r="E74" t="str">
        <f>Tabela2[[#This Row],[Curso]]&amp;Tabela2[[#This Row],[Dia]]&amp;Tabela2[[#This Row],[Horário]]</f>
        <v>CCO454</v>
      </c>
    </row>
    <row r="75" spans="1:5" x14ac:dyDescent="0.25">
      <c r="A75" t="s">
        <v>13</v>
      </c>
      <c r="B75">
        <v>1</v>
      </c>
      <c r="C75">
        <v>5</v>
      </c>
      <c r="D75" t="s">
        <v>38</v>
      </c>
      <c r="E75" t="str">
        <f>Tabela2[[#This Row],[Curso]]&amp;Tabela2[[#This Row],[Dia]]&amp;Tabela2[[#This Row],[Horário]]</f>
        <v>CCO415</v>
      </c>
    </row>
    <row r="76" spans="1:5" x14ac:dyDescent="0.25">
      <c r="A76" t="s">
        <v>13</v>
      </c>
      <c r="B76">
        <v>3</v>
      </c>
      <c r="C76">
        <v>5</v>
      </c>
      <c r="D76" t="s">
        <v>29</v>
      </c>
      <c r="E76" t="str">
        <f>Tabela2[[#This Row],[Curso]]&amp;Tabela2[[#This Row],[Dia]]&amp;Tabela2[[#This Row],[Horário]]</f>
        <v>CCO435</v>
      </c>
    </row>
    <row r="77" spans="1:5" x14ac:dyDescent="0.25">
      <c r="A77" t="s">
        <v>13</v>
      </c>
      <c r="B77">
        <v>5</v>
      </c>
      <c r="C77">
        <v>5</v>
      </c>
      <c r="D77" t="s">
        <v>46</v>
      </c>
      <c r="E77" t="str">
        <f>Tabela2[[#This Row],[Curso]]&amp;Tabela2[[#This Row],[Dia]]&amp;Tabela2[[#This Row],[Horário]]</f>
        <v>CCO455</v>
      </c>
    </row>
    <row r="78" spans="1:5" x14ac:dyDescent="0.25">
      <c r="A78" t="s">
        <v>13</v>
      </c>
      <c r="B78">
        <v>3</v>
      </c>
      <c r="C78">
        <v>6</v>
      </c>
      <c r="D78" t="s">
        <v>41</v>
      </c>
      <c r="E78" t="str">
        <f>Tabela2[[#This Row],[Curso]]&amp;Tabela2[[#This Row],[Dia]]&amp;Tabela2[[#This Row],[Horário]]</f>
        <v>CCO436</v>
      </c>
    </row>
    <row r="79" spans="1:5" x14ac:dyDescent="0.25">
      <c r="A79" t="s">
        <v>13</v>
      </c>
      <c r="B79">
        <v>4</v>
      </c>
      <c r="C79">
        <v>6</v>
      </c>
      <c r="D79" t="s">
        <v>41</v>
      </c>
      <c r="E79" t="str">
        <f>Tabela2[[#This Row],[Curso]]&amp;Tabela2[[#This Row],[Dia]]&amp;Tabela2[[#This Row],[Horário]]</f>
        <v>CCO446</v>
      </c>
    </row>
    <row r="80" spans="1:5" x14ac:dyDescent="0.25">
      <c r="A80" t="s">
        <v>13</v>
      </c>
      <c r="B80">
        <v>2</v>
      </c>
      <c r="C80">
        <v>7</v>
      </c>
      <c r="D80" t="s">
        <v>58</v>
      </c>
      <c r="E80" t="str">
        <f>Tabela2[[#This Row],[Curso]]&amp;Tabela2[[#This Row],[Dia]]&amp;Tabela2[[#This Row],[Horário]]</f>
        <v>CCO427</v>
      </c>
    </row>
    <row r="81" spans="1:5" x14ac:dyDescent="0.25">
      <c r="A81" t="s">
        <v>13</v>
      </c>
      <c r="B81">
        <v>3</v>
      </c>
      <c r="C81">
        <v>7</v>
      </c>
      <c r="D81" t="s">
        <v>41</v>
      </c>
      <c r="E81" t="str">
        <f>Tabela2[[#This Row],[Curso]]&amp;Tabela2[[#This Row],[Dia]]&amp;Tabela2[[#This Row],[Horário]]</f>
        <v>CCO437</v>
      </c>
    </row>
    <row r="82" spans="1:5" x14ac:dyDescent="0.25">
      <c r="A82" t="s">
        <v>13</v>
      </c>
      <c r="B82">
        <v>4</v>
      </c>
      <c r="C82">
        <v>7</v>
      </c>
      <c r="D82" t="s">
        <v>41</v>
      </c>
      <c r="E82" t="str">
        <f>Tabela2[[#This Row],[Curso]]&amp;Tabela2[[#This Row],[Dia]]&amp;Tabela2[[#This Row],[Horário]]</f>
        <v>CCO447</v>
      </c>
    </row>
    <row r="83" spans="1:5" x14ac:dyDescent="0.25">
      <c r="A83" t="s">
        <v>13</v>
      </c>
      <c r="B83">
        <v>2</v>
      </c>
      <c r="C83">
        <v>8</v>
      </c>
      <c r="D83" t="s">
        <v>58</v>
      </c>
      <c r="E83" t="str">
        <f>Tabela2[[#This Row],[Curso]]&amp;Tabela2[[#This Row],[Dia]]&amp;Tabela2[[#This Row],[Horário]]</f>
        <v>CCO428</v>
      </c>
    </row>
    <row r="84" spans="1:5" x14ac:dyDescent="0.25">
      <c r="A84" t="s">
        <v>13</v>
      </c>
      <c r="B84">
        <v>2</v>
      </c>
      <c r="C84">
        <v>9</v>
      </c>
      <c r="D84" t="s">
        <v>36</v>
      </c>
      <c r="E84" t="str">
        <f>Tabela2[[#This Row],[Curso]]&amp;Tabela2[[#This Row],[Dia]]&amp;Tabela2[[#This Row],[Horário]]</f>
        <v>CCO429</v>
      </c>
    </row>
    <row r="85" spans="1:5" x14ac:dyDescent="0.25">
      <c r="A85" t="s">
        <v>13</v>
      </c>
      <c r="B85">
        <v>4</v>
      </c>
      <c r="C85">
        <v>9</v>
      </c>
      <c r="D85" t="s">
        <v>29</v>
      </c>
      <c r="E85" t="str">
        <f>Tabela2[[#This Row],[Curso]]&amp;Tabela2[[#This Row],[Dia]]&amp;Tabela2[[#This Row],[Horário]]</f>
        <v>CCO449</v>
      </c>
    </row>
    <row r="86" spans="1:5" x14ac:dyDescent="0.25">
      <c r="A86" t="s">
        <v>13</v>
      </c>
      <c r="B86">
        <v>2</v>
      </c>
      <c r="C86">
        <v>10</v>
      </c>
      <c r="D86" t="s">
        <v>36</v>
      </c>
      <c r="E86" t="str">
        <f>Tabela2[[#This Row],[Curso]]&amp;Tabela2[[#This Row],[Dia]]&amp;Tabela2[[#This Row],[Horário]]</f>
        <v>CCO4210</v>
      </c>
    </row>
    <row r="87" spans="1:5" x14ac:dyDescent="0.25">
      <c r="A87" t="s">
        <v>10</v>
      </c>
      <c r="B87">
        <v>2</v>
      </c>
      <c r="C87">
        <v>1</v>
      </c>
      <c r="D87" t="s">
        <v>52</v>
      </c>
      <c r="E87" t="str">
        <f>Tabela2[[#This Row],[Curso]]&amp;Tabela2[[#This Row],[Dia]]&amp;Tabela2[[#This Row],[Horário]]</f>
        <v>CCO521</v>
      </c>
    </row>
    <row r="88" spans="1:5" x14ac:dyDescent="0.25">
      <c r="A88" t="s">
        <v>10</v>
      </c>
      <c r="B88">
        <v>3</v>
      </c>
      <c r="C88">
        <v>1</v>
      </c>
      <c r="D88" t="s">
        <v>33</v>
      </c>
      <c r="E88" t="str">
        <f>Tabela2[[#This Row],[Curso]]&amp;Tabela2[[#This Row],[Dia]]&amp;Tabela2[[#This Row],[Horário]]</f>
        <v>CCO531</v>
      </c>
    </row>
    <row r="89" spans="1:5" x14ac:dyDescent="0.25">
      <c r="A89" t="s">
        <v>10</v>
      </c>
      <c r="B89">
        <v>4</v>
      </c>
      <c r="C89">
        <v>1</v>
      </c>
      <c r="D89" t="s">
        <v>52</v>
      </c>
      <c r="E89" t="str">
        <f>Tabela2[[#This Row],[Curso]]&amp;Tabela2[[#This Row],[Dia]]&amp;Tabela2[[#This Row],[Horário]]</f>
        <v>CCO541</v>
      </c>
    </row>
    <row r="90" spans="1:5" x14ac:dyDescent="0.25">
      <c r="A90" t="s">
        <v>10</v>
      </c>
      <c r="B90">
        <v>2</v>
      </c>
      <c r="C90">
        <v>2</v>
      </c>
      <c r="D90" t="s">
        <v>52</v>
      </c>
      <c r="E90" t="str">
        <f>Tabela2[[#This Row],[Curso]]&amp;Tabela2[[#This Row],[Dia]]&amp;Tabela2[[#This Row],[Horário]]</f>
        <v>CCO522</v>
      </c>
    </row>
    <row r="91" spans="1:5" x14ac:dyDescent="0.25">
      <c r="A91" t="s">
        <v>10</v>
      </c>
      <c r="B91">
        <v>3</v>
      </c>
      <c r="C91">
        <v>2</v>
      </c>
      <c r="D91" t="s">
        <v>33</v>
      </c>
      <c r="E91" t="str">
        <f>Tabela2[[#This Row],[Curso]]&amp;Tabela2[[#This Row],[Dia]]&amp;Tabela2[[#This Row],[Horário]]</f>
        <v>CCO532</v>
      </c>
    </row>
    <row r="92" spans="1:5" x14ac:dyDescent="0.25">
      <c r="A92" t="s">
        <v>10</v>
      </c>
      <c r="B92">
        <v>4</v>
      </c>
      <c r="C92">
        <v>2</v>
      </c>
      <c r="D92" t="s">
        <v>52</v>
      </c>
      <c r="E92" t="str">
        <f>Tabela2[[#This Row],[Curso]]&amp;Tabela2[[#This Row],[Dia]]&amp;Tabela2[[#This Row],[Horário]]</f>
        <v>CCO542</v>
      </c>
    </row>
    <row r="93" spans="1:5" x14ac:dyDescent="0.25">
      <c r="A93" t="s">
        <v>10</v>
      </c>
      <c r="B93">
        <v>1</v>
      </c>
      <c r="C93">
        <v>3</v>
      </c>
      <c r="D93" t="s">
        <v>59</v>
      </c>
      <c r="E93" t="str">
        <f>Tabela2[[#This Row],[Curso]]&amp;Tabela2[[#This Row],[Dia]]&amp;Tabela2[[#This Row],[Horário]]</f>
        <v>CCO513</v>
      </c>
    </row>
    <row r="94" spans="1:5" x14ac:dyDescent="0.25">
      <c r="A94" t="s">
        <v>10</v>
      </c>
      <c r="B94">
        <v>1</v>
      </c>
      <c r="C94">
        <v>4</v>
      </c>
      <c r="D94" t="s">
        <v>59</v>
      </c>
      <c r="E94" t="str">
        <f>Tabela2[[#This Row],[Curso]]&amp;Tabela2[[#This Row],[Dia]]&amp;Tabela2[[#This Row],[Horário]]</f>
        <v>CCO514</v>
      </c>
    </row>
    <row r="95" spans="1:5" x14ac:dyDescent="0.25">
      <c r="A95" t="s">
        <v>10</v>
      </c>
      <c r="B95">
        <v>2</v>
      </c>
      <c r="C95">
        <v>4</v>
      </c>
      <c r="D95" t="s">
        <v>54</v>
      </c>
      <c r="E95" t="str">
        <f>Tabela2[[#This Row],[Curso]]&amp;Tabela2[[#This Row],[Dia]]&amp;Tabela2[[#This Row],[Horário]]</f>
        <v>CCO524</v>
      </c>
    </row>
    <row r="96" spans="1:5" x14ac:dyDescent="0.25">
      <c r="A96" t="s">
        <v>10</v>
      </c>
      <c r="B96">
        <v>3</v>
      </c>
      <c r="C96">
        <v>4</v>
      </c>
      <c r="D96" t="s">
        <v>28</v>
      </c>
      <c r="E96" t="str">
        <f>Tabela2[[#This Row],[Curso]]&amp;Tabela2[[#This Row],[Dia]]&amp;Tabela2[[#This Row],[Horário]]</f>
        <v>CCO534</v>
      </c>
    </row>
    <row r="97" spans="1:5" x14ac:dyDescent="0.25">
      <c r="A97" t="s">
        <v>10</v>
      </c>
      <c r="B97">
        <v>4</v>
      </c>
      <c r="C97">
        <v>4</v>
      </c>
      <c r="D97" t="s">
        <v>33</v>
      </c>
      <c r="E97" t="str">
        <f>Tabela2[[#This Row],[Curso]]&amp;Tabela2[[#This Row],[Dia]]&amp;Tabela2[[#This Row],[Horário]]</f>
        <v>CCO544</v>
      </c>
    </row>
    <row r="98" spans="1:5" x14ac:dyDescent="0.25">
      <c r="A98" t="s">
        <v>10</v>
      </c>
      <c r="B98">
        <v>5</v>
      </c>
      <c r="C98">
        <v>4</v>
      </c>
      <c r="D98" t="s">
        <v>54</v>
      </c>
      <c r="E98" t="str">
        <f>Tabela2[[#This Row],[Curso]]&amp;Tabela2[[#This Row],[Dia]]&amp;Tabela2[[#This Row],[Horário]]</f>
        <v>CCO554</v>
      </c>
    </row>
    <row r="99" spans="1:5" x14ac:dyDescent="0.25">
      <c r="A99" t="s">
        <v>10</v>
      </c>
      <c r="B99">
        <v>1</v>
      </c>
      <c r="C99">
        <v>5</v>
      </c>
      <c r="D99" t="s">
        <v>44</v>
      </c>
      <c r="E99" t="str">
        <f>Tabela2[[#This Row],[Curso]]&amp;Tabela2[[#This Row],[Dia]]&amp;Tabela2[[#This Row],[Horário]]</f>
        <v>CCO515</v>
      </c>
    </row>
    <row r="100" spans="1:5" x14ac:dyDescent="0.25">
      <c r="A100" t="s">
        <v>10</v>
      </c>
      <c r="B100">
        <v>2</v>
      </c>
      <c r="C100">
        <v>5</v>
      </c>
      <c r="D100" t="s">
        <v>54</v>
      </c>
      <c r="E100" t="str">
        <f>Tabela2[[#This Row],[Curso]]&amp;Tabela2[[#This Row],[Dia]]&amp;Tabela2[[#This Row],[Horário]]</f>
        <v>CCO525</v>
      </c>
    </row>
    <row r="101" spans="1:5" x14ac:dyDescent="0.25">
      <c r="A101" t="s">
        <v>10</v>
      </c>
      <c r="B101">
        <v>3</v>
      </c>
      <c r="C101">
        <v>5</v>
      </c>
      <c r="D101" t="s">
        <v>28</v>
      </c>
      <c r="E101" t="str">
        <f>Tabela2[[#This Row],[Curso]]&amp;Tabela2[[#This Row],[Dia]]&amp;Tabela2[[#This Row],[Horário]]</f>
        <v>CCO535</v>
      </c>
    </row>
    <row r="102" spans="1:5" x14ac:dyDescent="0.25">
      <c r="A102" t="s">
        <v>10</v>
      </c>
      <c r="B102">
        <v>4</v>
      </c>
      <c r="C102">
        <v>5</v>
      </c>
      <c r="D102" t="s">
        <v>33</v>
      </c>
      <c r="E102" t="str">
        <f>Tabela2[[#This Row],[Curso]]&amp;Tabela2[[#This Row],[Dia]]&amp;Tabela2[[#This Row],[Horário]]</f>
        <v>CCO545</v>
      </c>
    </row>
    <row r="103" spans="1:5" x14ac:dyDescent="0.25">
      <c r="A103" t="s">
        <v>10</v>
      </c>
      <c r="B103">
        <v>5</v>
      </c>
      <c r="C103">
        <v>5</v>
      </c>
      <c r="D103" t="s">
        <v>54</v>
      </c>
      <c r="E103" t="str">
        <f>Tabela2[[#This Row],[Curso]]&amp;Tabela2[[#This Row],[Dia]]&amp;Tabela2[[#This Row],[Horário]]</f>
        <v>CCO555</v>
      </c>
    </row>
    <row r="104" spans="1:5" x14ac:dyDescent="0.25">
      <c r="A104" t="s">
        <v>10</v>
      </c>
      <c r="B104">
        <v>1</v>
      </c>
      <c r="C104">
        <v>6</v>
      </c>
      <c r="D104" t="s">
        <v>44</v>
      </c>
      <c r="E104" t="str">
        <f>Tabela2[[#This Row],[Curso]]&amp;Tabela2[[#This Row],[Dia]]&amp;Tabela2[[#This Row],[Horário]]</f>
        <v>CCO516</v>
      </c>
    </row>
    <row r="105" spans="1:5" x14ac:dyDescent="0.25">
      <c r="A105" t="s">
        <v>10</v>
      </c>
      <c r="B105">
        <v>2</v>
      </c>
      <c r="C105">
        <v>7</v>
      </c>
      <c r="D105" t="s">
        <v>44</v>
      </c>
      <c r="E105" t="str">
        <f>Tabela2[[#This Row],[Curso]]&amp;Tabela2[[#This Row],[Dia]]&amp;Tabela2[[#This Row],[Horário]]</f>
        <v>CCO527</v>
      </c>
    </row>
    <row r="106" spans="1:5" x14ac:dyDescent="0.25">
      <c r="A106" t="s">
        <v>10</v>
      </c>
      <c r="B106">
        <v>4</v>
      </c>
      <c r="C106">
        <v>7</v>
      </c>
      <c r="D106" t="s">
        <v>28</v>
      </c>
      <c r="E106" t="str">
        <f>Tabela2[[#This Row],[Curso]]&amp;Tabela2[[#This Row],[Dia]]&amp;Tabela2[[#This Row],[Horário]]</f>
        <v>CCO547</v>
      </c>
    </row>
    <row r="107" spans="1:5" x14ac:dyDescent="0.25">
      <c r="A107" t="s">
        <v>10</v>
      </c>
      <c r="B107">
        <v>2</v>
      </c>
      <c r="C107">
        <v>8</v>
      </c>
      <c r="D107" t="s">
        <v>44</v>
      </c>
      <c r="E107" t="str">
        <f>Tabela2[[#This Row],[Curso]]&amp;Tabela2[[#This Row],[Dia]]&amp;Tabela2[[#This Row],[Horário]]</f>
        <v>CCO528</v>
      </c>
    </row>
    <row r="108" spans="1:5" x14ac:dyDescent="0.25">
      <c r="A108" t="s">
        <v>10</v>
      </c>
      <c r="B108">
        <v>3</v>
      </c>
      <c r="C108">
        <v>8</v>
      </c>
      <c r="D108" t="s">
        <v>59</v>
      </c>
      <c r="E108" t="str">
        <f>Tabela2[[#This Row],[Curso]]&amp;Tabela2[[#This Row],[Dia]]&amp;Tabela2[[#This Row],[Horário]]</f>
        <v>CCO538</v>
      </c>
    </row>
    <row r="109" spans="1:5" x14ac:dyDescent="0.25">
      <c r="A109" t="s">
        <v>10</v>
      </c>
      <c r="B109">
        <v>4</v>
      </c>
      <c r="C109">
        <v>8</v>
      </c>
      <c r="D109" t="s">
        <v>28</v>
      </c>
      <c r="E109" t="str">
        <f>Tabela2[[#This Row],[Curso]]&amp;Tabela2[[#This Row],[Dia]]&amp;Tabela2[[#This Row],[Horário]]</f>
        <v>CCO548</v>
      </c>
    </row>
    <row r="110" spans="1:5" x14ac:dyDescent="0.25">
      <c r="A110" t="s">
        <v>11</v>
      </c>
      <c r="B110">
        <v>1</v>
      </c>
      <c r="C110">
        <v>3</v>
      </c>
      <c r="D110" t="s">
        <v>62</v>
      </c>
      <c r="E110" t="str">
        <f>Tabela2[[#This Row],[Curso]]&amp;Tabela2[[#This Row],[Dia]]&amp;Tabela2[[#This Row],[Horário]]</f>
        <v>CCO613</v>
      </c>
    </row>
    <row r="111" spans="1:5" x14ac:dyDescent="0.25">
      <c r="A111" t="s">
        <v>11</v>
      </c>
      <c r="B111">
        <v>1</v>
      </c>
      <c r="C111">
        <v>4</v>
      </c>
      <c r="D111" t="s">
        <v>62</v>
      </c>
      <c r="E111" t="str">
        <f>Tabela2[[#This Row],[Curso]]&amp;Tabela2[[#This Row],[Dia]]&amp;Tabela2[[#This Row],[Horário]]</f>
        <v>CCO614</v>
      </c>
    </row>
    <row r="112" spans="1:5" x14ac:dyDescent="0.25">
      <c r="A112" t="s">
        <v>11</v>
      </c>
      <c r="B112">
        <v>3</v>
      </c>
      <c r="C112">
        <v>5</v>
      </c>
      <c r="D112" t="s">
        <v>61</v>
      </c>
      <c r="E112" t="str">
        <f>Tabela2[[#This Row],[Curso]]&amp;Tabela2[[#This Row],[Dia]]&amp;Tabela2[[#This Row],[Horário]]</f>
        <v>CCO635</v>
      </c>
    </row>
    <row r="113" spans="1:5" x14ac:dyDescent="0.25">
      <c r="A113" t="s">
        <v>11</v>
      </c>
      <c r="B113">
        <v>3</v>
      </c>
      <c r="C113">
        <v>6</v>
      </c>
      <c r="D113" t="s">
        <v>61</v>
      </c>
      <c r="E113" t="str">
        <f>Tabela2[[#This Row],[Curso]]&amp;Tabela2[[#This Row],[Dia]]&amp;Tabela2[[#This Row],[Horário]]</f>
        <v>CCO636</v>
      </c>
    </row>
    <row r="114" spans="1:5" x14ac:dyDescent="0.25">
      <c r="A114" t="s">
        <v>11</v>
      </c>
      <c r="B114">
        <v>2</v>
      </c>
      <c r="C114">
        <v>7</v>
      </c>
      <c r="D114" t="s">
        <v>62</v>
      </c>
      <c r="E114" t="str">
        <f>Tabela2[[#This Row],[Curso]]&amp;Tabela2[[#This Row],[Dia]]&amp;Tabela2[[#This Row],[Horário]]</f>
        <v>CCO627</v>
      </c>
    </row>
    <row r="115" spans="1:5" x14ac:dyDescent="0.25">
      <c r="A115" t="s">
        <v>11</v>
      </c>
      <c r="B115">
        <v>5</v>
      </c>
      <c r="C115">
        <v>7</v>
      </c>
      <c r="D115" t="s">
        <v>61</v>
      </c>
      <c r="E115" t="str">
        <f>Tabela2[[#This Row],[Curso]]&amp;Tabela2[[#This Row],[Dia]]&amp;Tabela2[[#This Row],[Horário]]</f>
        <v>CCO657</v>
      </c>
    </row>
    <row r="116" spans="1:5" x14ac:dyDescent="0.25">
      <c r="A116" t="s">
        <v>11</v>
      </c>
      <c r="B116">
        <v>2</v>
      </c>
      <c r="C116">
        <v>8</v>
      </c>
      <c r="D116" t="s">
        <v>62</v>
      </c>
      <c r="E116" t="str">
        <f>Tabela2[[#This Row],[Curso]]&amp;Tabela2[[#This Row],[Dia]]&amp;Tabela2[[#This Row],[Horário]]</f>
        <v>CCO628</v>
      </c>
    </row>
    <row r="117" spans="1:5" x14ac:dyDescent="0.25">
      <c r="A117" t="s">
        <v>11</v>
      </c>
      <c r="B117">
        <v>5</v>
      </c>
      <c r="C117">
        <v>8</v>
      </c>
      <c r="D117" t="s">
        <v>61</v>
      </c>
      <c r="E117" t="str">
        <f>Tabela2[[#This Row],[Curso]]&amp;Tabela2[[#This Row],[Dia]]&amp;Tabela2[[#This Row],[Horário]]</f>
        <v>CCO658</v>
      </c>
    </row>
    <row r="118" spans="1:5" x14ac:dyDescent="0.25">
      <c r="A118" t="s">
        <v>6</v>
      </c>
      <c r="B118">
        <v>3</v>
      </c>
      <c r="C118">
        <v>1</v>
      </c>
      <c r="D118" t="s">
        <v>34</v>
      </c>
      <c r="E118" t="str">
        <f>Tabela2[[#This Row],[Curso]]&amp;Tabela2[[#This Row],[Dia]]&amp;Tabela2[[#This Row],[Horário]]</f>
        <v>CCO731</v>
      </c>
    </row>
    <row r="119" spans="1:5" x14ac:dyDescent="0.25">
      <c r="A119" t="s">
        <v>6</v>
      </c>
      <c r="B119">
        <v>5</v>
      </c>
      <c r="C119">
        <v>1</v>
      </c>
      <c r="D119" t="s">
        <v>34</v>
      </c>
      <c r="E119" t="str">
        <f>Tabela2[[#This Row],[Curso]]&amp;Tabela2[[#This Row],[Dia]]&amp;Tabela2[[#This Row],[Horário]]</f>
        <v>CCO751</v>
      </c>
    </row>
    <row r="120" spans="1:5" x14ac:dyDescent="0.25">
      <c r="A120" t="s">
        <v>6</v>
      </c>
      <c r="B120">
        <v>3</v>
      </c>
      <c r="C120">
        <v>2</v>
      </c>
      <c r="D120" t="s">
        <v>34</v>
      </c>
      <c r="E120" t="str">
        <f>Tabela2[[#This Row],[Curso]]&amp;Tabela2[[#This Row],[Dia]]&amp;Tabela2[[#This Row],[Horário]]</f>
        <v>CCO732</v>
      </c>
    </row>
    <row r="121" spans="1:5" x14ac:dyDescent="0.25">
      <c r="A121" t="s">
        <v>6</v>
      </c>
      <c r="B121">
        <v>5</v>
      </c>
      <c r="C121">
        <v>2</v>
      </c>
      <c r="D121" t="s">
        <v>34</v>
      </c>
      <c r="E121" t="str">
        <f>Tabela2[[#This Row],[Curso]]&amp;Tabela2[[#This Row],[Dia]]&amp;Tabela2[[#This Row],[Horário]]</f>
        <v>CCO752</v>
      </c>
    </row>
    <row r="122" spans="1:5" x14ac:dyDescent="0.25">
      <c r="A122" t="s">
        <v>6</v>
      </c>
      <c r="B122">
        <v>1</v>
      </c>
      <c r="C122">
        <v>3</v>
      </c>
      <c r="D122" t="s">
        <v>66</v>
      </c>
      <c r="E122" t="str">
        <f>Tabela2[[#This Row],[Curso]]&amp;Tabela2[[#This Row],[Dia]]&amp;Tabela2[[#This Row],[Horário]]</f>
        <v>CCO713</v>
      </c>
    </row>
    <row r="123" spans="1:5" x14ac:dyDescent="0.25">
      <c r="A123" t="s">
        <v>6</v>
      </c>
      <c r="B123">
        <v>1</v>
      </c>
      <c r="C123">
        <v>4</v>
      </c>
      <c r="D123" t="s">
        <v>66</v>
      </c>
      <c r="E123" t="str">
        <f>Tabela2[[#This Row],[Curso]]&amp;Tabela2[[#This Row],[Dia]]&amp;Tabela2[[#This Row],[Horário]]</f>
        <v>CCO714</v>
      </c>
    </row>
    <row r="124" spans="1:5" x14ac:dyDescent="0.25">
      <c r="A124" t="s">
        <v>6</v>
      </c>
      <c r="B124">
        <v>2</v>
      </c>
      <c r="C124">
        <v>8</v>
      </c>
      <c r="D124" t="s">
        <v>66</v>
      </c>
      <c r="E124" t="str">
        <f>Tabela2[[#This Row],[Curso]]&amp;Tabela2[[#This Row],[Dia]]&amp;Tabela2[[#This Row],[Horário]]</f>
        <v>CCO728</v>
      </c>
    </row>
    <row r="125" spans="1:5" x14ac:dyDescent="0.25">
      <c r="A125" t="s">
        <v>6</v>
      </c>
      <c r="B125">
        <v>2</v>
      </c>
      <c r="C125">
        <v>9</v>
      </c>
      <c r="D125" t="s">
        <v>66</v>
      </c>
      <c r="E125" t="str">
        <f>Tabela2[[#This Row],[Curso]]&amp;Tabela2[[#This Row],[Dia]]&amp;Tabela2[[#This Row],[Horário]]</f>
        <v>CCO729</v>
      </c>
    </row>
    <row r="126" spans="1:5" x14ac:dyDescent="0.25">
      <c r="A126" t="s">
        <v>12</v>
      </c>
      <c r="B126">
        <v>2</v>
      </c>
      <c r="C126">
        <v>1</v>
      </c>
      <c r="D126" t="s">
        <v>56</v>
      </c>
      <c r="E126" t="str">
        <f>Tabela2[[#This Row],[Curso]]&amp;Tabela2[[#This Row],[Dia]]&amp;Tabela2[[#This Row],[Horário]]</f>
        <v>Optativas1121</v>
      </c>
    </row>
    <row r="127" spans="1:5" x14ac:dyDescent="0.25">
      <c r="A127" t="s">
        <v>12</v>
      </c>
      <c r="B127">
        <v>4</v>
      </c>
      <c r="C127">
        <v>1</v>
      </c>
      <c r="D127" t="s">
        <v>63</v>
      </c>
      <c r="E127" t="str">
        <f>Tabela2[[#This Row],[Curso]]&amp;Tabela2[[#This Row],[Dia]]&amp;Tabela2[[#This Row],[Horário]]</f>
        <v>Optativas1141</v>
      </c>
    </row>
    <row r="128" spans="1:5" x14ac:dyDescent="0.25">
      <c r="A128" t="s">
        <v>12</v>
      </c>
      <c r="B128">
        <v>5</v>
      </c>
      <c r="C128">
        <v>1</v>
      </c>
      <c r="D128" t="s">
        <v>49</v>
      </c>
      <c r="E128" t="str">
        <f>Tabela2[[#This Row],[Curso]]&amp;Tabela2[[#This Row],[Dia]]&amp;Tabela2[[#This Row],[Horário]]</f>
        <v>Optativas1151</v>
      </c>
    </row>
    <row r="129" spans="1:5" x14ac:dyDescent="0.25">
      <c r="A129" t="s">
        <v>12</v>
      </c>
      <c r="B129">
        <v>2</v>
      </c>
      <c r="C129">
        <v>2</v>
      </c>
      <c r="D129" t="s">
        <v>56</v>
      </c>
      <c r="E129" t="str">
        <f>Tabela2[[#This Row],[Curso]]&amp;Tabela2[[#This Row],[Dia]]&amp;Tabela2[[#This Row],[Horário]]</f>
        <v>Optativas1122</v>
      </c>
    </row>
    <row r="130" spans="1:5" x14ac:dyDescent="0.25">
      <c r="A130" t="s">
        <v>12</v>
      </c>
      <c r="B130">
        <v>3</v>
      </c>
      <c r="C130">
        <v>2</v>
      </c>
      <c r="D130" t="s">
        <v>56</v>
      </c>
      <c r="E130" t="str">
        <f>Tabela2[[#This Row],[Curso]]&amp;Tabela2[[#This Row],[Dia]]&amp;Tabela2[[#This Row],[Horário]]</f>
        <v>Optativas1132</v>
      </c>
    </row>
    <row r="131" spans="1:5" x14ac:dyDescent="0.25">
      <c r="A131" t="s">
        <v>12</v>
      </c>
      <c r="B131">
        <v>4</v>
      </c>
      <c r="C131">
        <v>2</v>
      </c>
      <c r="D131" t="s">
        <v>63</v>
      </c>
      <c r="E131" t="str">
        <f>Tabela2[[#This Row],[Curso]]&amp;Tabela2[[#This Row],[Dia]]&amp;Tabela2[[#This Row],[Horário]]</f>
        <v>Optativas1142</v>
      </c>
    </row>
    <row r="132" spans="1:5" x14ac:dyDescent="0.25">
      <c r="A132" t="s">
        <v>12</v>
      </c>
      <c r="B132">
        <v>5</v>
      </c>
      <c r="C132">
        <v>2</v>
      </c>
      <c r="D132" t="s">
        <v>49</v>
      </c>
      <c r="E132" t="str">
        <f>Tabela2[[#This Row],[Curso]]&amp;Tabela2[[#This Row],[Dia]]&amp;Tabela2[[#This Row],[Horário]]</f>
        <v>Optativas1152</v>
      </c>
    </row>
    <row r="133" spans="1:5" x14ac:dyDescent="0.25">
      <c r="A133" t="s">
        <v>12</v>
      </c>
      <c r="B133">
        <v>1</v>
      </c>
      <c r="C133">
        <v>3</v>
      </c>
      <c r="D133" t="s">
        <v>63</v>
      </c>
      <c r="E133" t="str">
        <f>Tabela2[[#This Row],[Curso]]&amp;Tabela2[[#This Row],[Dia]]&amp;Tabela2[[#This Row],[Horário]]</f>
        <v>Optativas1113</v>
      </c>
    </row>
    <row r="134" spans="1:5" x14ac:dyDescent="0.25">
      <c r="A134" t="s">
        <v>12</v>
      </c>
      <c r="B134">
        <v>3</v>
      </c>
      <c r="C134">
        <v>3</v>
      </c>
      <c r="D134" t="s">
        <v>56</v>
      </c>
      <c r="E134" t="str">
        <f>Tabela2[[#This Row],[Curso]]&amp;Tabela2[[#This Row],[Dia]]&amp;Tabela2[[#This Row],[Horário]]</f>
        <v>Optativas1133</v>
      </c>
    </row>
    <row r="135" spans="1:5" x14ac:dyDescent="0.25">
      <c r="A135" t="s">
        <v>12</v>
      </c>
      <c r="B135">
        <v>5</v>
      </c>
      <c r="C135">
        <v>3</v>
      </c>
      <c r="D135" t="s">
        <v>45</v>
      </c>
      <c r="E135" t="str">
        <f>Tabela2[[#This Row],[Curso]]&amp;Tabela2[[#This Row],[Dia]]&amp;Tabela2[[#This Row],[Horário]]</f>
        <v>Optativas1153</v>
      </c>
    </row>
    <row r="136" spans="1:5" x14ac:dyDescent="0.25">
      <c r="A136" t="s">
        <v>12</v>
      </c>
      <c r="B136">
        <v>1</v>
      </c>
      <c r="C136">
        <v>4</v>
      </c>
      <c r="D136" t="s">
        <v>63</v>
      </c>
      <c r="E136" t="str">
        <f>Tabela2[[#This Row],[Curso]]&amp;Tabela2[[#This Row],[Dia]]&amp;Tabela2[[#This Row],[Horário]]</f>
        <v>Optativas1114</v>
      </c>
    </row>
    <row r="137" spans="1:5" x14ac:dyDescent="0.25">
      <c r="A137" t="s">
        <v>12</v>
      </c>
      <c r="B137">
        <v>3</v>
      </c>
      <c r="C137">
        <v>4</v>
      </c>
      <c r="D137" t="s">
        <v>42</v>
      </c>
      <c r="E137" t="str">
        <f>Tabela2[[#This Row],[Curso]]&amp;Tabela2[[#This Row],[Dia]]&amp;Tabela2[[#This Row],[Horário]]</f>
        <v>Optativas1134</v>
      </c>
    </row>
    <row r="138" spans="1:5" x14ac:dyDescent="0.25">
      <c r="A138" t="s">
        <v>12</v>
      </c>
      <c r="B138">
        <v>5</v>
      </c>
      <c r="C138">
        <v>4</v>
      </c>
      <c r="D138" t="s">
        <v>45</v>
      </c>
      <c r="E138" t="str">
        <f>Tabela2[[#This Row],[Curso]]&amp;Tabela2[[#This Row],[Dia]]&amp;Tabela2[[#This Row],[Horário]]</f>
        <v>Optativas1154</v>
      </c>
    </row>
    <row r="139" spans="1:5" x14ac:dyDescent="0.25">
      <c r="A139" t="s">
        <v>12</v>
      </c>
      <c r="B139">
        <v>2</v>
      </c>
      <c r="C139">
        <v>5</v>
      </c>
      <c r="D139" t="s">
        <v>45</v>
      </c>
      <c r="E139" t="str">
        <f>Tabela2[[#This Row],[Curso]]&amp;Tabela2[[#This Row],[Dia]]&amp;Tabela2[[#This Row],[Horário]]</f>
        <v>Optativas1125</v>
      </c>
    </row>
    <row r="140" spans="1:5" x14ac:dyDescent="0.25">
      <c r="A140" t="s">
        <v>12</v>
      </c>
      <c r="B140">
        <v>3</v>
      </c>
      <c r="C140">
        <v>5</v>
      </c>
      <c r="D140" t="s">
        <v>42</v>
      </c>
      <c r="E140" t="str">
        <f>Tabela2[[#This Row],[Curso]]&amp;Tabela2[[#This Row],[Dia]]&amp;Tabela2[[#This Row],[Horário]]</f>
        <v>Optativas1135</v>
      </c>
    </row>
    <row r="141" spans="1:5" x14ac:dyDescent="0.25">
      <c r="A141" t="s">
        <v>12</v>
      </c>
      <c r="B141">
        <v>4</v>
      </c>
      <c r="C141">
        <v>5</v>
      </c>
      <c r="D141" t="s">
        <v>49</v>
      </c>
      <c r="E141" t="str">
        <f>Tabela2[[#This Row],[Curso]]&amp;Tabela2[[#This Row],[Dia]]&amp;Tabela2[[#This Row],[Horário]]</f>
        <v>Optativas1145</v>
      </c>
    </row>
    <row r="142" spans="1:5" x14ac:dyDescent="0.25">
      <c r="A142" t="s">
        <v>12</v>
      </c>
      <c r="B142">
        <v>2</v>
      </c>
      <c r="C142">
        <v>6</v>
      </c>
      <c r="D142" t="s">
        <v>45</v>
      </c>
      <c r="E142" t="str">
        <f>Tabela2[[#This Row],[Curso]]&amp;Tabela2[[#This Row],[Dia]]&amp;Tabela2[[#This Row],[Horário]]</f>
        <v>Optativas1126</v>
      </c>
    </row>
    <row r="143" spans="1:5" x14ac:dyDescent="0.25">
      <c r="A143" t="s">
        <v>12</v>
      </c>
      <c r="B143">
        <v>4</v>
      </c>
      <c r="C143">
        <v>6</v>
      </c>
      <c r="D143" t="s">
        <v>49</v>
      </c>
      <c r="E143" t="str">
        <f>Tabela2[[#This Row],[Curso]]&amp;Tabela2[[#This Row],[Dia]]&amp;Tabela2[[#This Row],[Horário]]</f>
        <v>Optativas1146</v>
      </c>
    </row>
    <row r="144" spans="1:5" x14ac:dyDescent="0.25">
      <c r="A144" t="s">
        <v>12</v>
      </c>
      <c r="B144">
        <v>5</v>
      </c>
      <c r="C144">
        <v>6</v>
      </c>
      <c r="D144" t="s">
        <v>42</v>
      </c>
      <c r="E144" t="str">
        <f>Tabela2[[#This Row],[Curso]]&amp;Tabela2[[#This Row],[Dia]]&amp;Tabela2[[#This Row],[Horário]]</f>
        <v>Optativas1156</v>
      </c>
    </row>
    <row r="145" spans="1:5" x14ac:dyDescent="0.25">
      <c r="A145" t="s">
        <v>12</v>
      </c>
      <c r="B145">
        <v>5</v>
      </c>
      <c r="C145">
        <v>7</v>
      </c>
      <c r="D145" t="s">
        <v>42</v>
      </c>
      <c r="E145" t="str">
        <f>Tabela2[[#This Row],[Curso]]&amp;Tabela2[[#This Row],[Dia]]&amp;Tabela2[[#This Row],[Horário]]</f>
        <v>Optativas1157</v>
      </c>
    </row>
    <row r="146" spans="1:5" x14ac:dyDescent="0.25">
      <c r="A146" t="s">
        <v>12</v>
      </c>
      <c r="B146">
        <v>1</v>
      </c>
      <c r="C146">
        <v>8</v>
      </c>
      <c r="D146" t="s">
        <v>27</v>
      </c>
      <c r="E146" t="str">
        <f>Tabela2[[#This Row],[Curso]]&amp;Tabela2[[#This Row],[Dia]]&amp;Tabela2[[#This Row],[Horário]]</f>
        <v>Optativas1118</v>
      </c>
    </row>
    <row r="147" spans="1:5" x14ac:dyDescent="0.25">
      <c r="A147" t="s">
        <v>12</v>
      </c>
      <c r="B147">
        <v>2</v>
      </c>
      <c r="C147">
        <v>8</v>
      </c>
      <c r="D147" t="s">
        <v>104</v>
      </c>
      <c r="E147" t="str">
        <f>Tabela2[[#This Row],[Curso]]&amp;Tabela2[[#This Row],[Dia]]&amp;Tabela2[[#This Row],[Horário]]</f>
        <v>Optativas1128</v>
      </c>
    </row>
    <row r="148" spans="1:5" x14ac:dyDescent="0.25">
      <c r="A148" t="s">
        <v>12</v>
      </c>
      <c r="B148">
        <v>1</v>
      </c>
      <c r="C148">
        <v>9</v>
      </c>
      <c r="D148" t="s">
        <v>27</v>
      </c>
      <c r="E148" t="str">
        <f>Tabela2[[#This Row],[Curso]]&amp;Tabela2[[#This Row],[Dia]]&amp;Tabela2[[#This Row],[Horário]]</f>
        <v>Optativas1119</v>
      </c>
    </row>
    <row r="149" spans="1:5" x14ac:dyDescent="0.25">
      <c r="A149" t="s">
        <v>12</v>
      </c>
      <c r="B149">
        <v>2</v>
      </c>
      <c r="C149">
        <v>9</v>
      </c>
      <c r="D149" t="s">
        <v>104</v>
      </c>
      <c r="E149" t="str">
        <f>Tabela2[[#This Row],[Curso]]&amp;Tabela2[[#This Row],[Dia]]&amp;Tabela2[[#This Row],[Horário]]</f>
        <v>Optativas1129</v>
      </c>
    </row>
    <row r="150" spans="1:5" x14ac:dyDescent="0.25">
      <c r="A150" t="s">
        <v>12</v>
      </c>
      <c r="B150">
        <v>3</v>
      </c>
      <c r="C150">
        <v>10</v>
      </c>
      <c r="D150" t="s">
        <v>27</v>
      </c>
      <c r="E150" t="str">
        <f>Tabela2[[#This Row],[Curso]]&amp;Tabela2[[#This Row],[Dia]]&amp;Tabela2[[#This Row],[Horário]]</f>
        <v>Optativas11310</v>
      </c>
    </row>
    <row r="151" spans="1:5" x14ac:dyDescent="0.25">
      <c r="A151" t="s">
        <v>12</v>
      </c>
      <c r="B151">
        <v>3</v>
      </c>
      <c r="C151">
        <v>11</v>
      </c>
      <c r="D151" t="s">
        <v>27</v>
      </c>
      <c r="E151" t="str">
        <f>Tabela2[[#This Row],[Curso]]&amp;Tabela2[[#This Row],[Dia]]&amp;Tabela2[[#This Row],[Horário]]</f>
        <v>Optativas11311</v>
      </c>
    </row>
    <row r="152" spans="1:5" x14ac:dyDescent="0.25">
      <c r="A152" t="s">
        <v>12</v>
      </c>
      <c r="B152">
        <v>3</v>
      </c>
      <c r="C152">
        <v>12</v>
      </c>
      <c r="D152" t="s">
        <v>104</v>
      </c>
      <c r="E152" t="str">
        <f>Tabela2[[#This Row],[Curso]]&amp;Tabela2[[#This Row],[Dia]]&amp;Tabela2[[#This Row],[Horário]]</f>
        <v>Optativas11312</v>
      </c>
    </row>
    <row r="153" spans="1:5" x14ac:dyDescent="0.25">
      <c r="A153" t="s">
        <v>12</v>
      </c>
      <c r="B153">
        <v>3</v>
      </c>
      <c r="C153">
        <v>13</v>
      </c>
      <c r="D153" t="s">
        <v>104</v>
      </c>
      <c r="E153" t="str">
        <f>Tabela2[[#This Row],[Curso]]&amp;Tabela2[[#This Row],[Dia]]&amp;Tabela2[[#This Row],[Horário]]</f>
        <v>Optativas11313</v>
      </c>
    </row>
    <row r="154" spans="1:5" x14ac:dyDescent="0.25">
      <c r="A154" t="s">
        <v>14</v>
      </c>
      <c r="B154">
        <v>3</v>
      </c>
      <c r="C154">
        <v>1</v>
      </c>
      <c r="D154" t="s">
        <v>101</v>
      </c>
      <c r="E154" t="str">
        <f>Tabela2[[#This Row],[Curso]]&amp;Tabela2[[#This Row],[Dia]]&amp;Tabela2[[#This Row],[Horário]]</f>
        <v>Optativas1231</v>
      </c>
    </row>
    <row r="155" spans="1:5" x14ac:dyDescent="0.25">
      <c r="A155" t="s">
        <v>14</v>
      </c>
      <c r="B155">
        <v>3</v>
      </c>
      <c r="C155">
        <v>2</v>
      </c>
      <c r="D155" t="s">
        <v>101</v>
      </c>
      <c r="E155" t="str">
        <f>Tabela2[[#This Row],[Curso]]&amp;Tabela2[[#This Row],[Dia]]&amp;Tabela2[[#This Row],[Horário]]</f>
        <v>Optativas1232</v>
      </c>
    </row>
    <row r="156" spans="1:5" x14ac:dyDescent="0.25">
      <c r="A156" t="s">
        <v>14</v>
      </c>
      <c r="B156">
        <v>5</v>
      </c>
      <c r="C156">
        <v>2</v>
      </c>
      <c r="D156" t="s">
        <v>71</v>
      </c>
      <c r="E156" t="str">
        <f>Tabela2[[#This Row],[Curso]]&amp;Tabela2[[#This Row],[Dia]]&amp;Tabela2[[#This Row],[Horário]]</f>
        <v>Optativas1252</v>
      </c>
    </row>
    <row r="157" spans="1:5" x14ac:dyDescent="0.25">
      <c r="A157" t="s">
        <v>14</v>
      </c>
      <c r="B157">
        <v>1</v>
      </c>
      <c r="C157">
        <v>3</v>
      </c>
      <c r="D157" t="s">
        <v>39</v>
      </c>
      <c r="E157" t="str">
        <f>Tabela2[[#This Row],[Curso]]&amp;Tabela2[[#This Row],[Dia]]&amp;Tabela2[[#This Row],[Horário]]</f>
        <v>Optativas1213</v>
      </c>
    </row>
    <row r="158" spans="1:5" x14ac:dyDescent="0.25">
      <c r="A158" t="s">
        <v>14</v>
      </c>
      <c r="B158">
        <v>2</v>
      </c>
      <c r="C158">
        <v>3</v>
      </c>
      <c r="D158" t="s">
        <v>101</v>
      </c>
      <c r="E158" t="str">
        <f>Tabela2[[#This Row],[Curso]]&amp;Tabela2[[#This Row],[Dia]]&amp;Tabela2[[#This Row],[Horário]]</f>
        <v>Optativas1223</v>
      </c>
    </row>
    <row r="159" spans="1:5" x14ac:dyDescent="0.25">
      <c r="A159" t="s">
        <v>14</v>
      </c>
      <c r="B159">
        <v>3</v>
      </c>
      <c r="C159">
        <v>3</v>
      </c>
      <c r="D159" t="s">
        <v>31</v>
      </c>
      <c r="E159" t="str">
        <f>Tabela2[[#This Row],[Curso]]&amp;Tabela2[[#This Row],[Dia]]&amp;Tabela2[[#This Row],[Horário]]</f>
        <v>Optativas1233</v>
      </c>
    </row>
    <row r="160" spans="1:5" x14ac:dyDescent="0.25">
      <c r="A160" t="s">
        <v>14</v>
      </c>
      <c r="B160">
        <v>1</v>
      </c>
      <c r="C160">
        <v>4</v>
      </c>
      <c r="D160" t="s">
        <v>39</v>
      </c>
      <c r="E160" t="str">
        <f>Tabela2[[#This Row],[Curso]]&amp;Tabela2[[#This Row],[Dia]]&amp;Tabela2[[#This Row],[Horário]]</f>
        <v>Optativas1214</v>
      </c>
    </row>
    <row r="161" spans="1:5" x14ac:dyDescent="0.25">
      <c r="A161" t="s">
        <v>14</v>
      </c>
      <c r="B161">
        <v>2</v>
      </c>
      <c r="C161">
        <v>4</v>
      </c>
      <c r="D161" t="s">
        <v>101</v>
      </c>
      <c r="E161" t="str">
        <f>Tabela2[[#This Row],[Curso]]&amp;Tabela2[[#This Row],[Dia]]&amp;Tabela2[[#This Row],[Horário]]</f>
        <v>Optativas1224</v>
      </c>
    </row>
    <row r="162" spans="1:5" x14ac:dyDescent="0.25">
      <c r="A162" t="s">
        <v>14</v>
      </c>
      <c r="B162">
        <v>3</v>
      </c>
      <c r="C162">
        <v>4</v>
      </c>
      <c r="D162" t="s">
        <v>31</v>
      </c>
      <c r="E162" t="str">
        <f>Tabela2[[#This Row],[Curso]]&amp;Tabela2[[#This Row],[Dia]]&amp;Tabela2[[#This Row],[Horário]]</f>
        <v>Optativas1234</v>
      </c>
    </row>
    <row r="163" spans="1:5" x14ac:dyDescent="0.25">
      <c r="A163" t="s">
        <v>14</v>
      </c>
      <c r="B163">
        <v>4</v>
      </c>
      <c r="C163">
        <v>4</v>
      </c>
      <c r="D163" t="s">
        <v>71</v>
      </c>
      <c r="E163" t="str">
        <f>Tabela2[[#This Row],[Curso]]&amp;Tabela2[[#This Row],[Dia]]&amp;Tabela2[[#This Row],[Horário]]</f>
        <v>Optativas1244</v>
      </c>
    </row>
    <row r="164" spans="1:5" x14ac:dyDescent="0.25">
      <c r="A164" t="s">
        <v>14</v>
      </c>
      <c r="B164">
        <v>3</v>
      </c>
      <c r="C164">
        <v>5</v>
      </c>
      <c r="D164" t="s">
        <v>67</v>
      </c>
      <c r="E164" t="str">
        <f>Tabela2[[#This Row],[Curso]]&amp;Tabela2[[#This Row],[Dia]]&amp;Tabela2[[#This Row],[Horário]]</f>
        <v>Optativas1235</v>
      </c>
    </row>
    <row r="165" spans="1:5" x14ac:dyDescent="0.25">
      <c r="A165" t="s">
        <v>14</v>
      </c>
      <c r="B165">
        <v>4</v>
      </c>
      <c r="C165">
        <v>5</v>
      </c>
      <c r="D165" t="s">
        <v>71</v>
      </c>
      <c r="E165" t="str">
        <f>Tabela2[[#This Row],[Curso]]&amp;Tabela2[[#This Row],[Dia]]&amp;Tabela2[[#This Row],[Horário]]</f>
        <v>Optativas1245</v>
      </c>
    </row>
    <row r="166" spans="1:5" x14ac:dyDescent="0.25">
      <c r="A166" t="s">
        <v>14</v>
      </c>
      <c r="B166">
        <v>3</v>
      </c>
      <c r="C166">
        <v>6</v>
      </c>
      <c r="D166" t="s">
        <v>67</v>
      </c>
      <c r="E166" t="str">
        <f>Tabela2[[#This Row],[Curso]]&amp;Tabela2[[#This Row],[Dia]]&amp;Tabela2[[#This Row],[Horário]]</f>
        <v>Optativas1236</v>
      </c>
    </row>
    <row r="167" spans="1:5" x14ac:dyDescent="0.25">
      <c r="A167" t="s">
        <v>14</v>
      </c>
      <c r="B167">
        <v>4</v>
      </c>
      <c r="C167">
        <v>6</v>
      </c>
      <c r="D167" t="s">
        <v>48</v>
      </c>
      <c r="E167" t="str">
        <f>Tabela2[[#This Row],[Curso]]&amp;Tabela2[[#This Row],[Dia]]&amp;Tabela2[[#This Row],[Horário]]</f>
        <v>Optativas1246</v>
      </c>
    </row>
    <row r="168" spans="1:5" x14ac:dyDescent="0.25">
      <c r="A168" t="s">
        <v>14</v>
      </c>
      <c r="B168">
        <v>1</v>
      </c>
      <c r="C168">
        <v>7</v>
      </c>
      <c r="D168" t="s">
        <v>48</v>
      </c>
      <c r="E168" t="str">
        <f>Tabela2[[#This Row],[Curso]]&amp;Tabela2[[#This Row],[Dia]]&amp;Tabela2[[#This Row],[Horário]]</f>
        <v>Optativas1217</v>
      </c>
    </row>
    <row r="169" spans="1:5" x14ac:dyDescent="0.25">
      <c r="A169" t="s">
        <v>14</v>
      </c>
      <c r="B169">
        <v>2</v>
      </c>
      <c r="C169">
        <v>7</v>
      </c>
      <c r="D169" t="s">
        <v>25</v>
      </c>
      <c r="E169" t="str">
        <f>Tabela2[[#This Row],[Curso]]&amp;Tabela2[[#This Row],[Dia]]&amp;Tabela2[[#This Row],[Horário]]</f>
        <v>Optativas1227</v>
      </c>
    </row>
    <row r="170" spans="1:5" x14ac:dyDescent="0.25">
      <c r="A170" t="s">
        <v>14</v>
      </c>
      <c r="B170">
        <v>4</v>
      </c>
      <c r="C170">
        <v>7</v>
      </c>
      <c r="D170" t="s">
        <v>48</v>
      </c>
      <c r="E170" t="str">
        <f>Tabela2[[#This Row],[Curso]]&amp;Tabela2[[#This Row],[Dia]]&amp;Tabela2[[#This Row],[Horário]]</f>
        <v>Optativas1247</v>
      </c>
    </row>
    <row r="171" spans="1:5" x14ac:dyDescent="0.25">
      <c r="A171" t="s">
        <v>14</v>
      </c>
      <c r="B171">
        <v>5</v>
      </c>
      <c r="C171">
        <v>7</v>
      </c>
      <c r="D171" t="s">
        <v>25</v>
      </c>
      <c r="E171" t="str">
        <f>Tabela2[[#This Row],[Curso]]&amp;Tabela2[[#This Row],[Dia]]&amp;Tabela2[[#This Row],[Horário]]</f>
        <v>Optativas1257</v>
      </c>
    </row>
    <row r="172" spans="1:5" x14ac:dyDescent="0.25">
      <c r="A172" t="s">
        <v>14</v>
      </c>
      <c r="B172">
        <v>1</v>
      </c>
      <c r="C172">
        <v>8</v>
      </c>
      <c r="D172" t="s">
        <v>48</v>
      </c>
      <c r="E172" t="str">
        <f>Tabela2[[#This Row],[Curso]]&amp;Tabela2[[#This Row],[Dia]]&amp;Tabela2[[#This Row],[Horário]]</f>
        <v>Optativas1218</v>
      </c>
    </row>
    <row r="173" spans="1:5" x14ac:dyDescent="0.25">
      <c r="A173" t="s">
        <v>14</v>
      </c>
      <c r="B173">
        <v>2</v>
      </c>
      <c r="C173">
        <v>8</v>
      </c>
      <c r="D173" t="s">
        <v>25</v>
      </c>
      <c r="E173" t="str">
        <f>Tabela2[[#This Row],[Curso]]&amp;Tabela2[[#This Row],[Dia]]&amp;Tabela2[[#This Row],[Horário]]</f>
        <v>Optativas1228</v>
      </c>
    </row>
    <row r="174" spans="1:5" x14ac:dyDescent="0.25">
      <c r="A174" t="s">
        <v>14</v>
      </c>
      <c r="B174">
        <v>5</v>
      </c>
      <c r="C174">
        <v>8</v>
      </c>
      <c r="D174" t="s">
        <v>25</v>
      </c>
      <c r="E174" t="str">
        <f>Tabela2[[#This Row],[Curso]]&amp;Tabela2[[#This Row],[Dia]]&amp;Tabela2[[#This Row],[Horário]]</f>
        <v>Optativas1258</v>
      </c>
    </row>
    <row r="175" spans="1:5" x14ac:dyDescent="0.25">
      <c r="A175" t="s">
        <v>14</v>
      </c>
      <c r="B175">
        <v>5</v>
      </c>
      <c r="C175">
        <v>9</v>
      </c>
      <c r="D175" t="s">
        <v>31</v>
      </c>
      <c r="E175" t="str">
        <f>Tabela2[[#This Row],[Curso]]&amp;Tabela2[[#This Row],[Dia]]&amp;Tabela2[[#This Row],[Horário]]</f>
        <v>Optativas1259</v>
      </c>
    </row>
    <row r="176" spans="1:5" x14ac:dyDescent="0.25">
      <c r="A176" t="s">
        <v>14</v>
      </c>
      <c r="B176">
        <v>2</v>
      </c>
      <c r="C176">
        <v>10</v>
      </c>
      <c r="D176" t="s">
        <v>39</v>
      </c>
      <c r="E176" t="str">
        <f>Tabela2[[#This Row],[Curso]]&amp;Tabela2[[#This Row],[Dia]]&amp;Tabela2[[#This Row],[Horário]]</f>
        <v>Optativas12210</v>
      </c>
    </row>
    <row r="177" spans="1:5" x14ac:dyDescent="0.25">
      <c r="A177" t="s">
        <v>14</v>
      </c>
      <c r="B177">
        <v>5</v>
      </c>
      <c r="C177">
        <v>10</v>
      </c>
      <c r="D177" t="s">
        <v>31</v>
      </c>
      <c r="E177" t="str">
        <f>Tabela2[[#This Row],[Curso]]&amp;Tabela2[[#This Row],[Dia]]&amp;Tabela2[[#This Row],[Horário]]</f>
        <v>Optativas12510</v>
      </c>
    </row>
    <row r="178" spans="1:5" x14ac:dyDescent="0.25">
      <c r="A178" t="s">
        <v>14</v>
      </c>
      <c r="B178">
        <v>2</v>
      </c>
      <c r="C178">
        <v>11</v>
      </c>
      <c r="D178" t="s">
        <v>39</v>
      </c>
      <c r="E178" t="str">
        <f>Tabela2[[#This Row],[Curso]]&amp;Tabela2[[#This Row],[Dia]]&amp;Tabela2[[#This Row],[Horário]]</f>
        <v>Optativas12211</v>
      </c>
    </row>
    <row r="179" spans="1:5" x14ac:dyDescent="0.25">
      <c r="A179" t="s">
        <v>14</v>
      </c>
      <c r="B179">
        <v>5</v>
      </c>
      <c r="C179">
        <v>11</v>
      </c>
      <c r="D179" t="s">
        <v>67</v>
      </c>
      <c r="E179" t="str">
        <f>Tabela2[[#This Row],[Curso]]&amp;Tabela2[[#This Row],[Dia]]&amp;Tabela2[[#This Row],[Horário]]</f>
        <v>Optativas12511</v>
      </c>
    </row>
    <row r="180" spans="1:5" x14ac:dyDescent="0.25">
      <c r="A180" t="s">
        <v>14</v>
      </c>
      <c r="B180">
        <v>5</v>
      </c>
      <c r="C180">
        <v>12</v>
      </c>
      <c r="D180" t="s">
        <v>67</v>
      </c>
      <c r="E180" t="str">
        <f>Tabela2[[#This Row],[Curso]]&amp;Tabela2[[#This Row],[Dia]]&amp;Tabela2[[#This Row],[Horário]]</f>
        <v>Optativas12512</v>
      </c>
    </row>
    <row r="181" spans="1:5" x14ac:dyDescent="0.25">
      <c r="A181" t="s">
        <v>15</v>
      </c>
      <c r="B181">
        <v>2</v>
      </c>
      <c r="C181">
        <v>3</v>
      </c>
      <c r="D181" t="s">
        <v>68</v>
      </c>
      <c r="E181" t="str">
        <f>Tabela2[[#This Row],[Curso]]&amp;Tabela2[[#This Row],[Dia]]&amp;Tabela2[[#This Row],[Horário]]</f>
        <v>Poscomp1123</v>
      </c>
    </row>
    <row r="182" spans="1:5" x14ac:dyDescent="0.25">
      <c r="A182" t="s">
        <v>15</v>
      </c>
      <c r="B182">
        <v>2</v>
      </c>
      <c r="C182">
        <v>4</v>
      </c>
      <c r="D182" t="s">
        <v>68</v>
      </c>
      <c r="E182" t="str">
        <f>Tabela2[[#This Row],[Curso]]&amp;Tabela2[[#This Row],[Dia]]&amp;Tabela2[[#This Row],[Horário]]</f>
        <v>Poscomp1124</v>
      </c>
    </row>
    <row r="183" spans="1:5" x14ac:dyDescent="0.25">
      <c r="A183" t="s">
        <v>15</v>
      </c>
      <c r="B183">
        <v>3</v>
      </c>
      <c r="C183">
        <v>6</v>
      </c>
      <c r="D183" t="s">
        <v>68</v>
      </c>
      <c r="E183" t="str">
        <f>Tabela2[[#This Row],[Curso]]&amp;Tabela2[[#This Row],[Dia]]&amp;Tabela2[[#This Row],[Horário]]</f>
        <v>Poscomp1136</v>
      </c>
    </row>
    <row r="184" spans="1:5" x14ac:dyDescent="0.25">
      <c r="A184" t="s">
        <v>15</v>
      </c>
      <c r="B184">
        <v>3</v>
      </c>
      <c r="C184">
        <v>7</v>
      </c>
      <c r="D184" t="s">
        <v>68</v>
      </c>
      <c r="E184" t="str">
        <f>Tabela2[[#This Row],[Curso]]&amp;Tabela2[[#This Row],[Dia]]&amp;Tabela2[[#This Row],[Horário]]</f>
        <v>Poscomp1137</v>
      </c>
    </row>
    <row r="185" spans="1:5" x14ac:dyDescent="0.25">
      <c r="A185" t="s">
        <v>7</v>
      </c>
      <c r="B185">
        <v>1</v>
      </c>
      <c r="C185">
        <v>5</v>
      </c>
      <c r="D185" t="s">
        <v>35</v>
      </c>
      <c r="E185" t="str">
        <f>Tabela2[[#This Row],[Curso]]&amp;Tabela2[[#This Row],[Dia]]&amp;Tabela2[[#This Row],[Horário]]</f>
        <v>Poscomp1215</v>
      </c>
    </row>
    <row r="186" spans="1:5" x14ac:dyDescent="0.25">
      <c r="A186" t="s">
        <v>7</v>
      </c>
      <c r="B186">
        <v>1</v>
      </c>
      <c r="C186">
        <v>6</v>
      </c>
      <c r="D186" t="s">
        <v>35</v>
      </c>
      <c r="E186" t="str">
        <f>Tabela2[[#This Row],[Curso]]&amp;Tabela2[[#This Row],[Dia]]&amp;Tabela2[[#This Row],[Horário]]</f>
        <v>Poscomp1216</v>
      </c>
    </row>
    <row r="187" spans="1:5" x14ac:dyDescent="0.25">
      <c r="A187" t="s">
        <v>7</v>
      </c>
      <c r="B187">
        <v>3</v>
      </c>
      <c r="C187">
        <v>9</v>
      </c>
      <c r="D187" t="s">
        <v>64</v>
      </c>
      <c r="E187" t="str">
        <f>Tabela2[[#This Row],[Curso]]&amp;Tabela2[[#This Row],[Dia]]&amp;Tabela2[[#This Row],[Horário]]</f>
        <v>Poscomp1239</v>
      </c>
    </row>
    <row r="188" spans="1:5" x14ac:dyDescent="0.25">
      <c r="A188" t="s">
        <v>7</v>
      </c>
      <c r="B188">
        <v>3</v>
      </c>
      <c r="C188">
        <v>10</v>
      </c>
      <c r="D188" t="s">
        <v>64</v>
      </c>
      <c r="E188" t="str">
        <f>Tabela2[[#This Row],[Curso]]&amp;Tabela2[[#This Row],[Dia]]&amp;Tabela2[[#This Row],[Horário]]</f>
        <v>Poscomp12310</v>
      </c>
    </row>
    <row r="189" spans="1:5" x14ac:dyDescent="0.25">
      <c r="A189" t="s">
        <v>7</v>
      </c>
      <c r="B189">
        <v>3</v>
      </c>
      <c r="C189">
        <v>11</v>
      </c>
      <c r="D189" t="s">
        <v>64</v>
      </c>
      <c r="E189" t="str">
        <f>Tabela2[[#This Row],[Curso]]&amp;Tabela2[[#This Row],[Dia]]&amp;Tabela2[[#This Row],[Horário]]</f>
        <v>Poscomp12311</v>
      </c>
    </row>
    <row r="190" spans="1:5" x14ac:dyDescent="0.25">
      <c r="A190" t="s">
        <v>7</v>
      </c>
      <c r="B190">
        <v>2</v>
      </c>
      <c r="C190">
        <v>12</v>
      </c>
      <c r="D190" t="s">
        <v>35</v>
      </c>
      <c r="E190" t="str">
        <f>Tabela2[[#This Row],[Curso]]&amp;Tabela2[[#This Row],[Dia]]&amp;Tabela2[[#This Row],[Horário]]</f>
        <v>Poscomp12212</v>
      </c>
    </row>
    <row r="191" spans="1:5" x14ac:dyDescent="0.25">
      <c r="A191" t="s">
        <v>7</v>
      </c>
      <c r="B191">
        <v>2</v>
      </c>
      <c r="C191">
        <v>13</v>
      </c>
      <c r="D191" t="s">
        <v>35</v>
      </c>
      <c r="E191" t="str">
        <f>Tabela2[[#This Row],[Curso]]&amp;Tabela2[[#This Row],[Dia]]&amp;Tabela2[[#This Row],[Horário]]</f>
        <v>Poscomp12213</v>
      </c>
    </row>
    <row r="192" spans="1:5" x14ac:dyDescent="0.25">
      <c r="A192" t="s">
        <v>7</v>
      </c>
      <c r="B192">
        <v>1</v>
      </c>
      <c r="C192">
        <v>14</v>
      </c>
      <c r="D192" t="s">
        <v>64</v>
      </c>
      <c r="E192" t="str">
        <f>Tabela2[[#This Row],[Curso]]&amp;Tabela2[[#This Row],[Dia]]&amp;Tabela2[[#This Row],[Horário]]</f>
        <v>Poscomp12114</v>
      </c>
    </row>
    <row r="193" spans="1:5" x14ac:dyDescent="0.25">
      <c r="A193" t="s">
        <v>16</v>
      </c>
      <c r="B193">
        <v>2</v>
      </c>
      <c r="C193">
        <v>11</v>
      </c>
      <c r="D193" t="s">
        <v>90</v>
      </c>
      <c r="E193" t="str">
        <f>Tabela2[[#This Row],[Curso]]&amp;Tabela2[[#This Row],[Dia]]&amp;Tabela2[[#This Row],[Horário]]</f>
        <v>SIN1211</v>
      </c>
    </row>
    <row r="194" spans="1:5" x14ac:dyDescent="0.25">
      <c r="A194" t="s">
        <v>16</v>
      </c>
      <c r="B194">
        <v>3</v>
      </c>
      <c r="C194">
        <v>11</v>
      </c>
      <c r="D194" t="s">
        <v>90</v>
      </c>
      <c r="E194" t="str">
        <f>Tabela2[[#This Row],[Curso]]&amp;Tabela2[[#This Row],[Dia]]&amp;Tabela2[[#This Row],[Horário]]</f>
        <v>SIN1311</v>
      </c>
    </row>
    <row r="195" spans="1:5" x14ac:dyDescent="0.25">
      <c r="A195" t="s">
        <v>16</v>
      </c>
      <c r="B195">
        <v>4</v>
      </c>
      <c r="C195">
        <v>11</v>
      </c>
      <c r="D195" t="s">
        <v>93</v>
      </c>
      <c r="E195" t="str">
        <f>Tabela2[[#This Row],[Curso]]&amp;Tabela2[[#This Row],[Dia]]&amp;Tabela2[[#This Row],[Horário]]</f>
        <v>SIN1411</v>
      </c>
    </row>
    <row r="196" spans="1:5" x14ac:dyDescent="0.25">
      <c r="A196" t="s">
        <v>16</v>
      </c>
      <c r="B196">
        <v>5</v>
      </c>
      <c r="C196">
        <v>11</v>
      </c>
      <c r="D196" t="s">
        <v>108</v>
      </c>
      <c r="E196" t="str">
        <f>Tabela2[[#This Row],[Curso]]&amp;Tabela2[[#This Row],[Dia]]&amp;Tabela2[[#This Row],[Horário]]</f>
        <v>SIN1511</v>
      </c>
    </row>
    <row r="197" spans="1:5" x14ac:dyDescent="0.25">
      <c r="A197" t="s">
        <v>16</v>
      </c>
      <c r="B197">
        <v>1</v>
      </c>
      <c r="C197">
        <v>12</v>
      </c>
      <c r="D197" t="s">
        <v>93</v>
      </c>
      <c r="E197" t="str">
        <f>Tabela2[[#This Row],[Curso]]&amp;Tabela2[[#This Row],[Dia]]&amp;Tabela2[[#This Row],[Horário]]</f>
        <v>SIN1112</v>
      </c>
    </row>
    <row r="198" spans="1:5" x14ac:dyDescent="0.25">
      <c r="A198" t="s">
        <v>16</v>
      </c>
      <c r="B198">
        <v>2</v>
      </c>
      <c r="C198">
        <v>12</v>
      </c>
      <c r="D198" t="s">
        <v>72</v>
      </c>
      <c r="E198" t="str">
        <f>Tabela2[[#This Row],[Curso]]&amp;Tabela2[[#This Row],[Dia]]&amp;Tabela2[[#This Row],[Horário]]</f>
        <v>SIN1212</v>
      </c>
    </row>
    <row r="199" spans="1:5" x14ac:dyDescent="0.25">
      <c r="A199" t="s">
        <v>16</v>
      </c>
      <c r="B199">
        <v>3</v>
      </c>
      <c r="C199">
        <v>12</v>
      </c>
      <c r="D199" t="s">
        <v>90</v>
      </c>
      <c r="E199" t="str">
        <f>Tabela2[[#This Row],[Curso]]&amp;Tabela2[[#This Row],[Dia]]&amp;Tabela2[[#This Row],[Horário]]</f>
        <v>SIN1312</v>
      </c>
    </row>
    <row r="200" spans="1:5" x14ac:dyDescent="0.25">
      <c r="A200" t="s">
        <v>16</v>
      </c>
      <c r="B200">
        <v>4</v>
      </c>
      <c r="C200">
        <v>12</v>
      </c>
      <c r="D200" t="s">
        <v>93</v>
      </c>
      <c r="E200" t="str">
        <f>Tabela2[[#This Row],[Curso]]&amp;Tabela2[[#This Row],[Dia]]&amp;Tabela2[[#This Row],[Horário]]</f>
        <v>SIN1412</v>
      </c>
    </row>
    <row r="201" spans="1:5" x14ac:dyDescent="0.25">
      <c r="A201" t="s">
        <v>16</v>
      </c>
      <c r="B201">
        <v>5</v>
      </c>
      <c r="C201">
        <v>12</v>
      </c>
      <c r="D201" t="s">
        <v>108</v>
      </c>
      <c r="E201" t="str">
        <f>Tabela2[[#This Row],[Curso]]&amp;Tabela2[[#This Row],[Dia]]&amp;Tabela2[[#This Row],[Horário]]</f>
        <v>SIN1512</v>
      </c>
    </row>
    <row r="202" spans="1:5" x14ac:dyDescent="0.25">
      <c r="A202" t="s">
        <v>16</v>
      </c>
      <c r="B202">
        <v>1</v>
      </c>
      <c r="C202">
        <v>13</v>
      </c>
      <c r="D202" t="s">
        <v>93</v>
      </c>
      <c r="E202" t="str">
        <f>Tabela2[[#This Row],[Curso]]&amp;Tabela2[[#This Row],[Dia]]&amp;Tabela2[[#This Row],[Horário]]</f>
        <v>SIN1113</v>
      </c>
    </row>
    <row r="203" spans="1:5" x14ac:dyDescent="0.25">
      <c r="A203" t="s">
        <v>16</v>
      </c>
      <c r="B203">
        <v>2</v>
      </c>
      <c r="C203">
        <v>13</v>
      </c>
      <c r="D203" t="s">
        <v>72</v>
      </c>
      <c r="E203" t="str">
        <f>Tabela2[[#This Row],[Curso]]&amp;Tabela2[[#This Row],[Dia]]&amp;Tabela2[[#This Row],[Horário]]</f>
        <v>SIN1213</v>
      </c>
    </row>
    <row r="204" spans="1:5" x14ac:dyDescent="0.25">
      <c r="A204" t="s">
        <v>16</v>
      </c>
      <c r="B204">
        <v>3</v>
      </c>
      <c r="C204">
        <v>13</v>
      </c>
      <c r="D204" t="s">
        <v>108</v>
      </c>
      <c r="E204" t="str">
        <f>Tabela2[[#This Row],[Curso]]&amp;Tabela2[[#This Row],[Dia]]&amp;Tabela2[[#This Row],[Horário]]</f>
        <v>SIN1313</v>
      </c>
    </row>
    <row r="205" spans="1:5" x14ac:dyDescent="0.25">
      <c r="A205" t="s">
        <v>16</v>
      </c>
      <c r="B205">
        <v>4</v>
      </c>
      <c r="C205">
        <v>13</v>
      </c>
      <c r="D205" t="s">
        <v>90</v>
      </c>
      <c r="E205" t="str">
        <f>Tabela2[[#This Row],[Curso]]&amp;Tabela2[[#This Row],[Dia]]&amp;Tabela2[[#This Row],[Horário]]</f>
        <v>SIN1413</v>
      </c>
    </row>
    <row r="206" spans="1:5" x14ac:dyDescent="0.25">
      <c r="A206" t="s">
        <v>16</v>
      </c>
      <c r="B206">
        <v>5</v>
      </c>
      <c r="C206">
        <v>13</v>
      </c>
      <c r="D206" t="s">
        <v>98</v>
      </c>
      <c r="E206" t="str">
        <f>Tabela2[[#This Row],[Curso]]&amp;Tabela2[[#This Row],[Dia]]&amp;Tabela2[[#This Row],[Horário]]</f>
        <v>SIN1513</v>
      </c>
    </row>
    <row r="207" spans="1:5" x14ac:dyDescent="0.25">
      <c r="A207" t="s">
        <v>16</v>
      </c>
      <c r="B207">
        <v>1</v>
      </c>
      <c r="C207">
        <v>14</v>
      </c>
      <c r="D207" t="s">
        <v>98</v>
      </c>
      <c r="E207" t="str">
        <f>Tabela2[[#This Row],[Curso]]&amp;Tabela2[[#This Row],[Dia]]&amp;Tabela2[[#This Row],[Horário]]</f>
        <v>SIN1114</v>
      </c>
    </row>
    <row r="208" spans="1:5" x14ac:dyDescent="0.25">
      <c r="A208" t="s">
        <v>16</v>
      </c>
      <c r="B208">
        <v>4</v>
      </c>
      <c r="C208">
        <v>14</v>
      </c>
      <c r="D208" t="s">
        <v>102</v>
      </c>
      <c r="E208" t="str">
        <f>Tabela2[[#This Row],[Curso]]&amp;Tabela2[[#This Row],[Dia]]&amp;Tabela2[[#This Row],[Horário]]</f>
        <v>SIN1414</v>
      </c>
    </row>
    <row r="209" spans="1:5" x14ac:dyDescent="0.25">
      <c r="A209" t="s">
        <v>16</v>
      </c>
      <c r="B209">
        <v>5</v>
      </c>
      <c r="C209">
        <v>14</v>
      </c>
      <c r="D209" t="s">
        <v>98</v>
      </c>
      <c r="E209" t="str">
        <f>Tabela2[[#This Row],[Curso]]&amp;Tabela2[[#This Row],[Dia]]&amp;Tabela2[[#This Row],[Horário]]</f>
        <v>SIN1514</v>
      </c>
    </row>
    <row r="210" spans="1:5" x14ac:dyDescent="0.25">
      <c r="A210" t="s">
        <v>16</v>
      </c>
      <c r="B210">
        <v>1</v>
      </c>
      <c r="C210">
        <v>15</v>
      </c>
      <c r="D210" t="s">
        <v>98</v>
      </c>
      <c r="E210" t="str">
        <f>Tabela2[[#This Row],[Curso]]&amp;Tabela2[[#This Row],[Dia]]&amp;Tabela2[[#This Row],[Horário]]</f>
        <v>SIN1115</v>
      </c>
    </row>
    <row r="211" spans="1:5" x14ac:dyDescent="0.25">
      <c r="A211" t="s">
        <v>16</v>
      </c>
      <c r="B211">
        <v>4</v>
      </c>
      <c r="C211">
        <v>15</v>
      </c>
      <c r="D211" t="s">
        <v>102</v>
      </c>
      <c r="E211" t="str">
        <f>Tabela2[[#This Row],[Curso]]&amp;Tabela2[[#This Row],[Dia]]&amp;Tabela2[[#This Row],[Horário]]</f>
        <v>SIN1415</v>
      </c>
    </row>
    <row r="212" spans="1:5" x14ac:dyDescent="0.25">
      <c r="A212" t="s">
        <v>17</v>
      </c>
      <c r="B212">
        <v>1</v>
      </c>
      <c r="C212">
        <v>11</v>
      </c>
      <c r="D212" t="s">
        <v>79</v>
      </c>
      <c r="E212" t="str">
        <f>Tabela2[[#This Row],[Curso]]&amp;Tabela2[[#This Row],[Dia]]&amp;Tabela2[[#This Row],[Horário]]</f>
        <v>SIN2111</v>
      </c>
    </row>
    <row r="213" spans="1:5" x14ac:dyDescent="0.25">
      <c r="A213" t="s">
        <v>17</v>
      </c>
      <c r="B213">
        <v>2</v>
      </c>
      <c r="C213">
        <v>11</v>
      </c>
      <c r="D213" t="s">
        <v>76</v>
      </c>
      <c r="E213" t="str">
        <f>Tabela2[[#This Row],[Curso]]&amp;Tabela2[[#This Row],[Dia]]&amp;Tabela2[[#This Row],[Horário]]</f>
        <v>SIN2211</v>
      </c>
    </row>
    <row r="214" spans="1:5" x14ac:dyDescent="0.25">
      <c r="A214" t="s">
        <v>17</v>
      </c>
      <c r="B214">
        <v>4</v>
      </c>
      <c r="C214">
        <v>11</v>
      </c>
      <c r="D214" t="s">
        <v>96</v>
      </c>
      <c r="E214" t="str">
        <f>Tabela2[[#This Row],[Curso]]&amp;Tabela2[[#This Row],[Dia]]&amp;Tabela2[[#This Row],[Horário]]</f>
        <v>SIN2411</v>
      </c>
    </row>
    <row r="215" spans="1:5" x14ac:dyDescent="0.25">
      <c r="A215" t="s">
        <v>17</v>
      </c>
      <c r="B215">
        <v>5</v>
      </c>
      <c r="C215">
        <v>11</v>
      </c>
      <c r="D215" t="s">
        <v>91</v>
      </c>
      <c r="E215" t="str">
        <f>Tabela2[[#This Row],[Curso]]&amp;Tabela2[[#This Row],[Dia]]&amp;Tabela2[[#This Row],[Horário]]</f>
        <v>SIN2511</v>
      </c>
    </row>
    <row r="216" spans="1:5" x14ac:dyDescent="0.25">
      <c r="A216" t="s">
        <v>17</v>
      </c>
      <c r="B216">
        <v>1</v>
      </c>
      <c r="C216">
        <v>12</v>
      </c>
      <c r="D216" t="s">
        <v>79</v>
      </c>
      <c r="E216" t="str">
        <f>Tabela2[[#This Row],[Curso]]&amp;Tabela2[[#This Row],[Dia]]&amp;Tabela2[[#This Row],[Horário]]</f>
        <v>SIN2112</v>
      </c>
    </row>
    <row r="217" spans="1:5" x14ac:dyDescent="0.25">
      <c r="A217" t="s">
        <v>17</v>
      </c>
      <c r="B217">
        <v>2</v>
      </c>
      <c r="C217">
        <v>12</v>
      </c>
      <c r="D217" t="s">
        <v>76</v>
      </c>
      <c r="E217" t="str">
        <f>Tabela2[[#This Row],[Curso]]&amp;Tabela2[[#This Row],[Dia]]&amp;Tabela2[[#This Row],[Horário]]</f>
        <v>SIN2212</v>
      </c>
    </row>
    <row r="218" spans="1:5" x14ac:dyDescent="0.25">
      <c r="A218" t="s">
        <v>17</v>
      </c>
      <c r="B218">
        <v>3</v>
      </c>
      <c r="C218">
        <v>12</v>
      </c>
      <c r="D218" t="s">
        <v>84</v>
      </c>
      <c r="E218" t="str">
        <f>Tabela2[[#This Row],[Curso]]&amp;Tabela2[[#This Row],[Dia]]&amp;Tabela2[[#This Row],[Horário]]</f>
        <v>SIN2312</v>
      </c>
    </row>
    <row r="219" spans="1:5" x14ac:dyDescent="0.25">
      <c r="A219" t="s">
        <v>17</v>
      </c>
      <c r="B219">
        <v>4</v>
      </c>
      <c r="C219">
        <v>12</v>
      </c>
      <c r="D219" t="s">
        <v>87</v>
      </c>
      <c r="E219" t="str">
        <f>Tabela2[[#This Row],[Curso]]&amp;Tabela2[[#This Row],[Dia]]&amp;Tabela2[[#This Row],[Horário]]</f>
        <v>SIN2412</v>
      </c>
    </row>
    <row r="220" spans="1:5" x14ac:dyDescent="0.25">
      <c r="A220" t="s">
        <v>17</v>
      </c>
      <c r="B220">
        <v>4</v>
      </c>
      <c r="C220">
        <v>12</v>
      </c>
      <c r="D220" t="s">
        <v>96</v>
      </c>
      <c r="E220" t="str">
        <f>Tabela2[[#This Row],[Curso]]&amp;Tabela2[[#This Row],[Dia]]&amp;Tabela2[[#This Row],[Horário]]</f>
        <v>SIN2412</v>
      </c>
    </row>
    <row r="221" spans="1:5" x14ac:dyDescent="0.25">
      <c r="A221" t="s">
        <v>17</v>
      </c>
      <c r="B221">
        <v>5</v>
      </c>
      <c r="C221">
        <v>12</v>
      </c>
      <c r="D221" t="s">
        <v>91</v>
      </c>
      <c r="E221" t="str">
        <f>Tabela2[[#This Row],[Curso]]&amp;Tabela2[[#This Row],[Dia]]&amp;Tabela2[[#This Row],[Horário]]</f>
        <v>SIN2512</v>
      </c>
    </row>
    <row r="222" spans="1:5" x14ac:dyDescent="0.25">
      <c r="A222" t="s">
        <v>17</v>
      </c>
      <c r="B222">
        <v>1</v>
      </c>
      <c r="C222">
        <v>13</v>
      </c>
      <c r="D222" t="s">
        <v>91</v>
      </c>
      <c r="E222" t="str">
        <f>Tabela2[[#This Row],[Curso]]&amp;Tabela2[[#This Row],[Dia]]&amp;Tabela2[[#This Row],[Horário]]</f>
        <v>SIN2113</v>
      </c>
    </row>
    <row r="223" spans="1:5" x14ac:dyDescent="0.25">
      <c r="A223" t="s">
        <v>17</v>
      </c>
      <c r="B223">
        <v>2</v>
      </c>
      <c r="C223">
        <v>13</v>
      </c>
      <c r="D223" t="s">
        <v>84</v>
      </c>
      <c r="E223" t="str">
        <f>Tabela2[[#This Row],[Curso]]&amp;Tabela2[[#This Row],[Dia]]&amp;Tabela2[[#This Row],[Horário]]</f>
        <v>SIN2213</v>
      </c>
    </row>
    <row r="224" spans="1:5" x14ac:dyDescent="0.25">
      <c r="A224" t="s">
        <v>17</v>
      </c>
      <c r="B224">
        <v>3</v>
      </c>
      <c r="C224">
        <v>13</v>
      </c>
      <c r="D224" t="s">
        <v>84</v>
      </c>
      <c r="E224" t="str">
        <f>Tabela2[[#This Row],[Curso]]&amp;Tabela2[[#This Row],[Dia]]&amp;Tabela2[[#This Row],[Horário]]</f>
        <v>SIN2313</v>
      </c>
    </row>
    <row r="225" spans="1:5" x14ac:dyDescent="0.25">
      <c r="A225" t="s">
        <v>17</v>
      </c>
      <c r="B225">
        <v>4</v>
      </c>
      <c r="C225">
        <v>13</v>
      </c>
      <c r="D225" t="s">
        <v>87</v>
      </c>
      <c r="E225" t="str">
        <f>Tabela2[[#This Row],[Curso]]&amp;Tabela2[[#This Row],[Dia]]&amp;Tabela2[[#This Row],[Horário]]</f>
        <v>SIN2413</v>
      </c>
    </row>
    <row r="226" spans="1:5" x14ac:dyDescent="0.25">
      <c r="A226" t="s">
        <v>17</v>
      </c>
      <c r="B226">
        <v>5</v>
      </c>
      <c r="C226">
        <v>13</v>
      </c>
      <c r="D226" t="s">
        <v>84</v>
      </c>
      <c r="E226" t="str">
        <f>Tabela2[[#This Row],[Curso]]&amp;Tabela2[[#This Row],[Dia]]&amp;Tabela2[[#This Row],[Horário]]</f>
        <v>SIN2513</v>
      </c>
    </row>
    <row r="227" spans="1:5" x14ac:dyDescent="0.25">
      <c r="A227" t="s">
        <v>17</v>
      </c>
      <c r="B227">
        <v>1</v>
      </c>
      <c r="C227">
        <v>14</v>
      </c>
      <c r="D227" t="s">
        <v>91</v>
      </c>
      <c r="E227" t="str">
        <f>Tabela2[[#This Row],[Curso]]&amp;Tabela2[[#This Row],[Dia]]&amp;Tabela2[[#This Row],[Horário]]</f>
        <v>SIN2114</v>
      </c>
    </row>
    <row r="228" spans="1:5" x14ac:dyDescent="0.25">
      <c r="A228" t="s">
        <v>17</v>
      </c>
      <c r="B228">
        <v>3</v>
      </c>
      <c r="C228">
        <v>14</v>
      </c>
      <c r="D228" t="s">
        <v>76</v>
      </c>
      <c r="E228" t="str">
        <f>Tabela2[[#This Row],[Curso]]&amp;Tabela2[[#This Row],[Dia]]&amp;Tabela2[[#This Row],[Horário]]</f>
        <v>SIN2314</v>
      </c>
    </row>
    <row r="229" spans="1:5" x14ac:dyDescent="0.25">
      <c r="A229" t="s">
        <v>17</v>
      </c>
      <c r="B229">
        <v>4</v>
      </c>
      <c r="C229">
        <v>14</v>
      </c>
      <c r="D229" t="s">
        <v>79</v>
      </c>
      <c r="E229" t="str">
        <f>Tabela2[[#This Row],[Curso]]&amp;Tabela2[[#This Row],[Dia]]&amp;Tabela2[[#This Row],[Horário]]</f>
        <v>SIN2414</v>
      </c>
    </row>
    <row r="230" spans="1:5" x14ac:dyDescent="0.25">
      <c r="A230" t="s">
        <v>17</v>
      </c>
      <c r="B230">
        <v>5</v>
      </c>
      <c r="C230">
        <v>14</v>
      </c>
      <c r="D230" t="s">
        <v>87</v>
      </c>
      <c r="E230" t="str">
        <f>Tabela2[[#This Row],[Curso]]&amp;Tabela2[[#This Row],[Dia]]&amp;Tabela2[[#This Row],[Horário]]</f>
        <v>SIN2514</v>
      </c>
    </row>
    <row r="231" spans="1:5" x14ac:dyDescent="0.25">
      <c r="A231" t="s">
        <v>17</v>
      </c>
      <c r="B231">
        <v>3</v>
      </c>
      <c r="C231">
        <v>15</v>
      </c>
      <c r="D231" t="s">
        <v>76</v>
      </c>
      <c r="E231" t="str">
        <f>Tabela2[[#This Row],[Curso]]&amp;Tabela2[[#This Row],[Dia]]&amp;Tabela2[[#This Row],[Horário]]</f>
        <v>SIN2315</v>
      </c>
    </row>
    <row r="232" spans="1:5" x14ac:dyDescent="0.25">
      <c r="A232" t="s">
        <v>17</v>
      </c>
      <c r="B232">
        <v>4</v>
      </c>
      <c r="C232">
        <v>15</v>
      </c>
      <c r="D232" t="s">
        <v>79</v>
      </c>
      <c r="E232" t="str">
        <f>Tabela2[[#This Row],[Curso]]&amp;Tabela2[[#This Row],[Dia]]&amp;Tabela2[[#This Row],[Horário]]</f>
        <v>SIN2415</v>
      </c>
    </row>
    <row r="233" spans="1:5" x14ac:dyDescent="0.25">
      <c r="A233" t="s">
        <v>17</v>
      </c>
      <c r="B233">
        <v>5</v>
      </c>
      <c r="C233">
        <v>15</v>
      </c>
      <c r="D233" t="s">
        <v>87</v>
      </c>
      <c r="E233" t="str">
        <f>Tabela2[[#This Row],[Curso]]&amp;Tabela2[[#This Row],[Dia]]&amp;Tabela2[[#This Row],[Horário]]</f>
        <v>SIN2515</v>
      </c>
    </row>
    <row r="234" spans="1:5" x14ac:dyDescent="0.25">
      <c r="A234" t="s">
        <v>19</v>
      </c>
      <c r="B234">
        <v>1</v>
      </c>
      <c r="C234">
        <v>11</v>
      </c>
      <c r="D234" t="s">
        <v>77</v>
      </c>
      <c r="E234" t="str">
        <f>Tabela2[[#This Row],[Curso]]&amp;Tabela2[[#This Row],[Dia]]&amp;Tabela2[[#This Row],[Horário]]</f>
        <v>SIN3111</v>
      </c>
    </row>
    <row r="235" spans="1:5" x14ac:dyDescent="0.25">
      <c r="A235" t="s">
        <v>19</v>
      </c>
      <c r="B235">
        <v>2</v>
      </c>
      <c r="C235">
        <v>11</v>
      </c>
      <c r="D235" t="s">
        <v>88</v>
      </c>
      <c r="E235" t="str">
        <f>Tabela2[[#This Row],[Curso]]&amp;Tabela2[[#This Row],[Dia]]&amp;Tabela2[[#This Row],[Horário]]</f>
        <v>SIN3211</v>
      </c>
    </row>
    <row r="236" spans="1:5" x14ac:dyDescent="0.25">
      <c r="A236" t="s">
        <v>19</v>
      </c>
      <c r="B236">
        <v>3</v>
      </c>
      <c r="C236">
        <v>11</v>
      </c>
      <c r="D236" t="s">
        <v>77</v>
      </c>
      <c r="E236" t="str">
        <f>Tabela2[[#This Row],[Curso]]&amp;Tabela2[[#This Row],[Dia]]&amp;Tabela2[[#This Row],[Horário]]</f>
        <v>SIN3311</v>
      </c>
    </row>
    <row r="237" spans="1:5" x14ac:dyDescent="0.25">
      <c r="A237" t="s">
        <v>19</v>
      </c>
      <c r="B237">
        <v>4</v>
      </c>
      <c r="C237">
        <v>11</v>
      </c>
      <c r="D237" t="s">
        <v>80</v>
      </c>
      <c r="E237" t="str">
        <f>Tabela2[[#This Row],[Curso]]&amp;Tabela2[[#This Row],[Dia]]&amp;Tabela2[[#This Row],[Horário]]</f>
        <v>SIN3411</v>
      </c>
    </row>
    <row r="238" spans="1:5" x14ac:dyDescent="0.25">
      <c r="A238" t="s">
        <v>19</v>
      </c>
      <c r="B238">
        <v>1</v>
      </c>
      <c r="C238">
        <v>12</v>
      </c>
      <c r="D238" t="s">
        <v>103</v>
      </c>
      <c r="E238" t="str">
        <f>Tabela2[[#This Row],[Curso]]&amp;Tabela2[[#This Row],[Dia]]&amp;Tabela2[[#This Row],[Horário]]</f>
        <v>SIN3112</v>
      </c>
    </row>
    <row r="239" spans="1:5" x14ac:dyDescent="0.25">
      <c r="A239" t="s">
        <v>19</v>
      </c>
      <c r="B239">
        <v>2</v>
      </c>
      <c r="C239">
        <v>12</v>
      </c>
      <c r="D239" t="s">
        <v>88</v>
      </c>
      <c r="E239" t="str">
        <f>Tabela2[[#This Row],[Curso]]&amp;Tabela2[[#This Row],[Dia]]&amp;Tabela2[[#This Row],[Horário]]</f>
        <v>SIN3212</v>
      </c>
    </row>
    <row r="240" spans="1:5" x14ac:dyDescent="0.25">
      <c r="A240" t="s">
        <v>19</v>
      </c>
      <c r="B240">
        <v>3</v>
      </c>
      <c r="C240">
        <v>12</v>
      </c>
      <c r="D240" t="s">
        <v>77</v>
      </c>
      <c r="E240" t="str">
        <f>Tabela2[[#This Row],[Curso]]&amp;Tabela2[[#This Row],[Dia]]&amp;Tabela2[[#This Row],[Horário]]</f>
        <v>SIN3312</v>
      </c>
    </row>
    <row r="241" spans="1:5" x14ac:dyDescent="0.25">
      <c r="A241" t="s">
        <v>19</v>
      </c>
      <c r="B241">
        <v>4</v>
      </c>
      <c r="C241">
        <v>12</v>
      </c>
      <c r="D241" t="s">
        <v>80</v>
      </c>
      <c r="E241" t="str">
        <f>Tabela2[[#This Row],[Curso]]&amp;Tabela2[[#This Row],[Dia]]&amp;Tabela2[[#This Row],[Horário]]</f>
        <v>SIN3412</v>
      </c>
    </row>
    <row r="242" spans="1:5" x14ac:dyDescent="0.25">
      <c r="A242" t="s">
        <v>19</v>
      </c>
      <c r="B242">
        <v>1</v>
      </c>
      <c r="C242">
        <v>13</v>
      </c>
      <c r="D242" t="s">
        <v>103</v>
      </c>
      <c r="E242" t="str">
        <f>Tabela2[[#This Row],[Curso]]&amp;Tabela2[[#This Row],[Dia]]&amp;Tabela2[[#This Row],[Horário]]</f>
        <v>SIN3113</v>
      </c>
    </row>
    <row r="243" spans="1:5" x14ac:dyDescent="0.25">
      <c r="A243" t="s">
        <v>19</v>
      </c>
      <c r="B243">
        <v>1</v>
      </c>
      <c r="C243">
        <v>14</v>
      </c>
      <c r="D243" t="s">
        <v>88</v>
      </c>
      <c r="E243" t="str">
        <f>Tabela2[[#This Row],[Curso]]&amp;Tabela2[[#This Row],[Dia]]&amp;Tabela2[[#This Row],[Horário]]</f>
        <v>SIN3114</v>
      </c>
    </row>
    <row r="244" spans="1:5" x14ac:dyDescent="0.25">
      <c r="A244" t="s">
        <v>19</v>
      </c>
      <c r="B244">
        <v>2</v>
      </c>
      <c r="C244">
        <v>14</v>
      </c>
      <c r="D244" t="s">
        <v>92</v>
      </c>
      <c r="E244" t="str">
        <f>Tabela2[[#This Row],[Curso]]&amp;Tabela2[[#This Row],[Dia]]&amp;Tabela2[[#This Row],[Horário]]</f>
        <v>SIN3214</v>
      </c>
    </row>
    <row r="245" spans="1:5" x14ac:dyDescent="0.25">
      <c r="A245" t="s">
        <v>19</v>
      </c>
      <c r="B245">
        <v>3</v>
      </c>
      <c r="C245">
        <v>14</v>
      </c>
      <c r="D245" t="s">
        <v>92</v>
      </c>
      <c r="E245" t="str">
        <f>Tabela2[[#This Row],[Curso]]&amp;Tabela2[[#This Row],[Dia]]&amp;Tabela2[[#This Row],[Horário]]</f>
        <v>SIN3314</v>
      </c>
    </row>
    <row r="246" spans="1:5" x14ac:dyDescent="0.25">
      <c r="A246" t="s">
        <v>19</v>
      </c>
      <c r="B246">
        <v>4</v>
      </c>
      <c r="C246">
        <v>14</v>
      </c>
      <c r="D246" t="s">
        <v>103</v>
      </c>
      <c r="E246" t="str">
        <f>Tabela2[[#This Row],[Curso]]&amp;Tabela2[[#This Row],[Dia]]&amp;Tabela2[[#This Row],[Horário]]</f>
        <v>SIN3414</v>
      </c>
    </row>
    <row r="247" spans="1:5" x14ac:dyDescent="0.25">
      <c r="A247" t="s">
        <v>19</v>
      </c>
      <c r="B247">
        <v>5</v>
      </c>
      <c r="C247">
        <v>14</v>
      </c>
      <c r="D247" t="s">
        <v>80</v>
      </c>
      <c r="E247" t="str">
        <f>Tabela2[[#This Row],[Curso]]&amp;Tabela2[[#This Row],[Dia]]&amp;Tabela2[[#This Row],[Horário]]</f>
        <v>SIN3514</v>
      </c>
    </row>
    <row r="248" spans="1:5" x14ac:dyDescent="0.25">
      <c r="A248" t="s">
        <v>19</v>
      </c>
      <c r="B248">
        <v>1</v>
      </c>
      <c r="C248">
        <v>15</v>
      </c>
      <c r="D248" t="s">
        <v>88</v>
      </c>
      <c r="E248" t="str">
        <f>Tabela2[[#This Row],[Curso]]&amp;Tabela2[[#This Row],[Dia]]&amp;Tabela2[[#This Row],[Horário]]</f>
        <v>SIN3115</v>
      </c>
    </row>
    <row r="249" spans="1:5" x14ac:dyDescent="0.25">
      <c r="A249" t="s">
        <v>19</v>
      </c>
      <c r="B249">
        <v>2</v>
      </c>
      <c r="C249">
        <v>15</v>
      </c>
      <c r="D249" t="s">
        <v>92</v>
      </c>
      <c r="E249" t="str">
        <f>Tabela2[[#This Row],[Curso]]&amp;Tabela2[[#This Row],[Dia]]&amp;Tabela2[[#This Row],[Horário]]</f>
        <v>SIN3215</v>
      </c>
    </row>
    <row r="250" spans="1:5" x14ac:dyDescent="0.25">
      <c r="A250" t="s">
        <v>19</v>
      </c>
      <c r="B250">
        <v>3</v>
      </c>
      <c r="C250">
        <v>15</v>
      </c>
      <c r="D250" t="s">
        <v>92</v>
      </c>
      <c r="E250" t="str">
        <f>Tabela2[[#This Row],[Curso]]&amp;Tabela2[[#This Row],[Dia]]&amp;Tabela2[[#This Row],[Horário]]</f>
        <v>SIN3315</v>
      </c>
    </row>
    <row r="251" spans="1:5" x14ac:dyDescent="0.25">
      <c r="A251" t="s">
        <v>19</v>
      </c>
      <c r="B251">
        <v>4</v>
      </c>
      <c r="C251">
        <v>15</v>
      </c>
      <c r="D251" t="s">
        <v>103</v>
      </c>
      <c r="E251" t="str">
        <f>Tabela2[[#This Row],[Curso]]&amp;Tabela2[[#This Row],[Dia]]&amp;Tabela2[[#This Row],[Horário]]</f>
        <v>SIN3415</v>
      </c>
    </row>
    <row r="252" spans="1:5" x14ac:dyDescent="0.25">
      <c r="A252" t="s">
        <v>19</v>
      </c>
      <c r="B252">
        <v>5</v>
      </c>
      <c r="C252">
        <v>15</v>
      </c>
      <c r="D252" t="s">
        <v>80</v>
      </c>
      <c r="E252" t="str">
        <f>Tabela2[[#This Row],[Curso]]&amp;Tabela2[[#This Row],[Dia]]&amp;Tabela2[[#This Row],[Horário]]</f>
        <v>SIN3515</v>
      </c>
    </row>
    <row r="253" spans="1:5" x14ac:dyDescent="0.25">
      <c r="A253" t="s">
        <v>18</v>
      </c>
      <c r="B253">
        <v>1</v>
      </c>
      <c r="C253">
        <v>11</v>
      </c>
      <c r="D253" t="s">
        <v>106</v>
      </c>
      <c r="E253" t="str">
        <f>Tabela2[[#This Row],[Curso]]&amp;Tabela2[[#This Row],[Dia]]&amp;Tabela2[[#This Row],[Horário]]</f>
        <v>SIN4111</v>
      </c>
    </row>
    <row r="254" spans="1:5" x14ac:dyDescent="0.25">
      <c r="A254" t="s">
        <v>18</v>
      </c>
      <c r="B254">
        <v>4</v>
      </c>
      <c r="C254">
        <v>11</v>
      </c>
      <c r="D254" t="s">
        <v>74</v>
      </c>
      <c r="E254" t="str">
        <f>Tabela2[[#This Row],[Curso]]&amp;Tabela2[[#This Row],[Dia]]&amp;Tabela2[[#This Row],[Horário]]</f>
        <v>SIN4411</v>
      </c>
    </row>
    <row r="255" spans="1:5" x14ac:dyDescent="0.25">
      <c r="A255" t="s">
        <v>18</v>
      </c>
      <c r="B255">
        <v>1</v>
      </c>
      <c r="C255">
        <v>12</v>
      </c>
      <c r="D255" t="s">
        <v>106</v>
      </c>
      <c r="E255" t="str">
        <f>Tabela2[[#This Row],[Curso]]&amp;Tabela2[[#This Row],[Dia]]&amp;Tabela2[[#This Row],[Horário]]</f>
        <v>SIN4112</v>
      </c>
    </row>
    <row r="256" spans="1:5" x14ac:dyDescent="0.25">
      <c r="A256" t="s">
        <v>18</v>
      </c>
      <c r="B256">
        <v>3</v>
      </c>
      <c r="C256">
        <v>12</v>
      </c>
      <c r="D256" t="s">
        <v>74</v>
      </c>
      <c r="E256" t="str">
        <f>Tabela2[[#This Row],[Curso]]&amp;Tabela2[[#This Row],[Dia]]&amp;Tabela2[[#This Row],[Horário]]</f>
        <v>SIN4312</v>
      </c>
    </row>
    <row r="257" spans="1:5" x14ac:dyDescent="0.25">
      <c r="A257" t="s">
        <v>18</v>
      </c>
      <c r="B257">
        <v>4</v>
      </c>
      <c r="C257">
        <v>12</v>
      </c>
      <c r="D257" t="s">
        <v>105</v>
      </c>
      <c r="E257" t="str">
        <f>Tabela2[[#This Row],[Curso]]&amp;Tabela2[[#This Row],[Dia]]&amp;Tabela2[[#This Row],[Horário]]</f>
        <v>SIN4412</v>
      </c>
    </row>
    <row r="258" spans="1:5" x14ac:dyDescent="0.25">
      <c r="A258" t="s">
        <v>18</v>
      </c>
      <c r="B258">
        <v>5</v>
      </c>
      <c r="C258">
        <v>12</v>
      </c>
      <c r="D258" t="s">
        <v>105</v>
      </c>
      <c r="E258" t="str">
        <f>Tabela2[[#This Row],[Curso]]&amp;Tabela2[[#This Row],[Dia]]&amp;Tabela2[[#This Row],[Horário]]</f>
        <v>SIN4512</v>
      </c>
    </row>
    <row r="259" spans="1:5" x14ac:dyDescent="0.25">
      <c r="A259" t="s">
        <v>18</v>
      </c>
      <c r="B259">
        <v>2</v>
      </c>
      <c r="C259">
        <v>13</v>
      </c>
      <c r="D259" t="s">
        <v>106</v>
      </c>
      <c r="E259" t="str">
        <f>Tabela2[[#This Row],[Curso]]&amp;Tabela2[[#This Row],[Dia]]&amp;Tabela2[[#This Row],[Horário]]</f>
        <v>SIN4213</v>
      </c>
    </row>
    <row r="260" spans="1:5" x14ac:dyDescent="0.25">
      <c r="A260" t="s">
        <v>18</v>
      </c>
      <c r="B260">
        <v>3</v>
      </c>
      <c r="C260">
        <v>13</v>
      </c>
      <c r="D260" t="s">
        <v>74</v>
      </c>
      <c r="E260" t="str">
        <f>Tabela2[[#This Row],[Curso]]&amp;Tabela2[[#This Row],[Dia]]&amp;Tabela2[[#This Row],[Horário]]</f>
        <v>SIN4313</v>
      </c>
    </row>
    <row r="261" spans="1:5" x14ac:dyDescent="0.25">
      <c r="A261" t="s">
        <v>18</v>
      </c>
      <c r="B261">
        <v>4</v>
      </c>
      <c r="C261">
        <v>13</v>
      </c>
      <c r="D261" t="s">
        <v>105</v>
      </c>
      <c r="E261" t="str">
        <f>Tabela2[[#This Row],[Curso]]&amp;Tabela2[[#This Row],[Dia]]&amp;Tabela2[[#This Row],[Horário]]</f>
        <v>SIN4413</v>
      </c>
    </row>
    <row r="262" spans="1:5" x14ac:dyDescent="0.25">
      <c r="A262" t="s">
        <v>18</v>
      </c>
      <c r="B262">
        <v>5</v>
      </c>
      <c r="C262">
        <v>13</v>
      </c>
      <c r="D262" t="s">
        <v>105</v>
      </c>
      <c r="E262" t="str">
        <f>Tabela2[[#This Row],[Curso]]&amp;Tabela2[[#This Row],[Dia]]&amp;Tabela2[[#This Row],[Horário]]</f>
        <v>SIN4513</v>
      </c>
    </row>
    <row r="263" spans="1:5" x14ac:dyDescent="0.25">
      <c r="A263" t="s">
        <v>18</v>
      </c>
      <c r="B263">
        <v>2</v>
      </c>
      <c r="C263">
        <v>14</v>
      </c>
      <c r="D263" t="s">
        <v>106</v>
      </c>
      <c r="E263" t="str">
        <f>Tabela2[[#This Row],[Curso]]&amp;Tabela2[[#This Row],[Dia]]&amp;Tabela2[[#This Row],[Horário]]</f>
        <v>SIN4214</v>
      </c>
    </row>
    <row r="264" spans="1:5" x14ac:dyDescent="0.25">
      <c r="A264" t="s">
        <v>18</v>
      </c>
      <c r="B264">
        <v>3</v>
      </c>
      <c r="C264">
        <v>14</v>
      </c>
      <c r="D264" t="s">
        <v>74</v>
      </c>
      <c r="E264" t="str">
        <f>Tabela2[[#This Row],[Curso]]&amp;Tabela2[[#This Row],[Dia]]&amp;Tabela2[[#This Row],[Horário]]</f>
        <v>SIN4314</v>
      </c>
    </row>
    <row r="265" spans="1:5" x14ac:dyDescent="0.25">
      <c r="A265" t="s">
        <v>18</v>
      </c>
      <c r="B265">
        <v>4</v>
      </c>
      <c r="C265">
        <v>14</v>
      </c>
      <c r="D265" t="s">
        <v>85</v>
      </c>
      <c r="E265" t="str">
        <f>Tabela2[[#This Row],[Curso]]&amp;Tabela2[[#This Row],[Dia]]&amp;Tabela2[[#This Row],[Horário]]</f>
        <v>SIN4414</v>
      </c>
    </row>
    <row r="266" spans="1:5" x14ac:dyDescent="0.25">
      <c r="A266" t="s">
        <v>18</v>
      </c>
      <c r="B266">
        <v>5</v>
      </c>
      <c r="C266">
        <v>14</v>
      </c>
      <c r="D266" t="s">
        <v>82</v>
      </c>
      <c r="E266" t="str">
        <f>Tabela2[[#This Row],[Curso]]&amp;Tabela2[[#This Row],[Dia]]&amp;Tabela2[[#This Row],[Horário]]</f>
        <v>SIN4514</v>
      </c>
    </row>
    <row r="267" spans="1:5" x14ac:dyDescent="0.25">
      <c r="A267" t="s">
        <v>18</v>
      </c>
      <c r="B267">
        <v>1</v>
      </c>
      <c r="C267">
        <v>15</v>
      </c>
      <c r="D267" t="s">
        <v>82</v>
      </c>
      <c r="E267" t="str">
        <f>Tabela2[[#This Row],[Curso]]&amp;Tabela2[[#This Row],[Dia]]&amp;Tabela2[[#This Row],[Horário]]</f>
        <v>SIN4115</v>
      </c>
    </row>
    <row r="268" spans="1:5" x14ac:dyDescent="0.25">
      <c r="A268" t="s">
        <v>18</v>
      </c>
      <c r="B268">
        <v>2</v>
      </c>
      <c r="C268">
        <v>15</v>
      </c>
      <c r="D268" t="s">
        <v>82</v>
      </c>
      <c r="E268" t="str">
        <f>Tabela2[[#This Row],[Curso]]&amp;Tabela2[[#This Row],[Dia]]&amp;Tabela2[[#This Row],[Horário]]</f>
        <v>SIN4215</v>
      </c>
    </row>
    <row r="269" spans="1:5" x14ac:dyDescent="0.25">
      <c r="A269" t="s">
        <v>18</v>
      </c>
      <c r="B269">
        <v>4</v>
      </c>
      <c r="C269">
        <v>15</v>
      </c>
      <c r="D269" t="s">
        <v>85</v>
      </c>
      <c r="E269" t="str">
        <f>Tabela2[[#This Row],[Curso]]&amp;Tabela2[[#This Row],[Dia]]&amp;Tabela2[[#This Row],[Horário]]</f>
        <v>SIN4415</v>
      </c>
    </row>
    <row r="270" spans="1:5" x14ac:dyDescent="0.25">
      <c r="A270" t="s">
        <v>18</v>
      </c>
      <c r="B270">
        <v>5</v>
      </c>
      <c r="C270">
        <v>15</v>
      </c>
      <c r="D270" t="s">
        <v>82</v>
      </c>
      <c r="E270" t="str">
        <f>Tabela2[[#This Row],[Curso]]&amp;Tabela2[[#This Row],[Dia]]&amp;Tabela2[[#This Row],[Horário]]</f>
        <v>SIN4515</v>
      </c>
    </row>
    <row r="271" spans="1:5" x14ac:dyDescent="0.25">
      <c r="A271" t="s">
        <v>21</v>
      </c>
      <c r="B271">
        <v>1</v>
      </c>
      <c r="C271">
        <v>11</v>
      </c>
      <c r="D271" t="s">
        <v>81</v>
      </c>
      <c r="E271" t="str">
        <f>Tabela2[[#This Row],[Curso]]&amp;Tabela2[[#This Row],[Dia]]&amp;Tabela2[[#This Row],[Horário]]</f>
        <v>SIN5111</v>
      </c>
    </row>
    <row r="272" spans="1:5" x14ac:dyDescent="0.25">
      <c r="A272" t="s">
        <v>21</v>
      </c>
      <c r="B272">
        <v>3</v>
      </c>
      <c r="C272">
        <v>11</v>
      </c>
      <c r="D272" t="s">
        <v>81</v>
      </c>
      <c r="E272" t="str">
        <f>Tabela2[[#This Row],[Curso]]&amp;Tabela2[[#This Row],[Dia]]&amp;Tabela2[[#This Row],[Horário]]</f>
        <v>SIN5311</v>
      </c>
    </row>
    <row r="273" spans="1:5" x14ac:dyDescent="0.25">
      <c r="A273" t="s">
        <v>21</v>
      </c>
      <c r="B273">
        <v>4</v>
      </c>
      <c r="C273">
        <v>11</v>
      </c>
      <c r="D273" t="s">
        <v>94</v>
      </c>
      <c r="E273" t="str">
        <f>Tabela2[[#This Row],[Curso]]&amp;Tabela2[[#This Row],[Dia]]&amp;Tabela2[[#This Row],[Horário]]</f>
        <v>SIN5411</v>
      </c>
    </row>
    <row r="274" spans="1:5" x14ac:dyDescent="0.25">
      <c r="A274" t="s">
        <v>21</v>
      </c>
      <c r="B274">
        <v>1</v>
      </c>
      <c r="C274">
        <v>12</v>
      </c>
      <c r="D274" t="s">
        <v>81</v>
      </c>
      <c r="E274" t="str">
        <f>Tabela2[[#This Row],[Curso]]&amp;Tabela2[[#This Row],[Dia]]&amp;Tabela2[[#This Row],[Horário]]</f>
        <v>SIN5112</v>
      </c>
    </row>
    <row r="275" spans="1:5" x14ac:dyDescent="0.25">
      <c r="A275" t="s">
        <v>21</v>
      </c>
      <c r="B275">
        <v>2</v>
      </c>
      <c r="C275">
        <v>12</v>
      </c>
      <c r="D275" t="s">
        <v>89</v>
      </c>
      <c r="E275" t="str">
        <f>Tabela2[[#This Row],[Curso]]&amp;Tabela2[[#This Row],[Dia]]&amp;Tabela2[[#This Row],[Horário]]</f>
        <v>SIN5212</v>
      </c>
    </row>
    <row r="276" spans="1:5" x14ac:dyDescent="0.25">
      <c r="A276" t="s">
        <v>21</v>
      </c>
      <c r="B276">
        <v>3</v>
      </c>
      <c r="C276">
        <v>12</v>
      </c>
      <c r="D276" t="s">
        <v>95</v>
      </c>
      <c r="E276" t="str">
        <f>Tabela2[[#This Row],[Curso]]&amp;Tabela2[[#This Row],[Dia]]&amp;Tabela2[[#This Row],[Horário]]</f>
        <v>SIN5312</v>
      </c>
    </row>
    <row r="277" spans="1:5" x14ac:dyDescent="0.25">
      <c r="A277" t="s">
        <v>21</v>
      </c>
      <c r="B277">
        <v>1</v>
      </c>
      <c r="C277">
        <v>13</v>
      </c>
      <c r="D277" t="s">
        <v>73</v>
      </c>
      <c r="E277" t="str">
        <f>Tabela2[[#This Row],[Curso]]&amp;Tabela2[[#This Row],[Dia]]&amp;Tabela2[[#This Row],[Horário]]</f>
        <v>SIN5113</v>
      </c>
    </row>
    <row r="278" spans="1:5" x14ac:dyDescent="0.25">
      <c r="A278" t="s">
        <v>21</v>
      </c>
      <c r="B278">
        <v>2</v>
      </c>
      <c r="C278">
        <v>13</v>
      </c>
      <c r="D278" t="s">
        <v>81</v>
      </c>
      <c r="E278" t="str">
        <f>Tabela2[[#This Row],[Curso]]&amp;Tabela2[[#This Row],[Dia]]&amp;Tabela2[[#This Row],[Horário]]</f>
        <v>SIN5213</v>
      </c>
    </row>
    <row r="279" spans="1:5" x14ac:dyDescent="0.25">
      <c r="A279" t="s">
        <v>21</v>
      </c>
      <c r="B279">
        <v>3</v>
      </c>
      <c r="C279">
        <v>13</v>
      </c>
      <c r="D279" t="s">
        <v>95</v>
      </c>
      <c r="E279" t="str">
        <f>Tabela2[[#This Row],[Curso]]&amp;Tabela2[[#This Row],[Dia]]&amp;Tabela2[[#This Row],[Horário]]</f>
        <v>SIN5313</v>
      </c>
    </row>
    <row r="280" spans="1:5" x14ac:dyDescent="0.25">
      <c r="A280" t="s">
        <v>21</v>
      </c>
      <c r="B280">
        <v>4</v>
      </c>
      <c r="C280">
        <v>13</v>
      </c>
      <c r="D280" t="s">
        <v>73</v>
      </c>
      <c r="E280" t="str">
        <f>Tabela2[[#This Row],[Curso]]&amp;Tabela2[[#This Row],[Dia]]&amp;Tabela2[[#This Row],[Horário]]</f>
        <v>SIN5413</v>
      </c>
    </row>
    <row r="281" spans="1:5" x14ac:dyDescent="0.25">
      <c r="A281" t="s">
        <v>21</v>
      </c>
      <c r="B281">
        <v>5</v>
      </c>
      <c r="C281">
        <v>13</v>
      </c>
      <c r="D281" t="s">
        <v>94</v>
      </c>
      <c r="E281" t="str">
        <f>Tabela2[[#This Row],[Curso]]&amp;Tabela2[[#This Row],[Dia]]&amp;Tabela2[[#This Row],[Horário]]</f>
        <v>SIN5513</v>
      </c>
    </row>
    <row r="282" spans="1:5" x14ac:dyDescent="0.25">
      <c r="A282" t="s">
        <v>21</v>
      </c>
      <c r="B282">
        <v>1</v>
      </c>
      <c r="C282">
        <v>14</v>
      </c>
      <c r="D282" t="s">
        <v>73</v>
      </c>
      <c r="E282" t="str">
        <f>Tabela2[[#This Row],[Curso]]&amp;Tabela2[[#This Row],[Dia]]&amp;Tabela2[[#This Row],[Horário]]</f>
        <v>SIN5114</v>
      </c>
    </row>
    <row r="283" spans="1:5" x14ac:dyDescent="0.25">
      <c r="A283" t="s">
        <v>21</v>
      </c>
      <c r="B283">
        <v>2</v>
      </c>
      <c r="C283">
        <v>14</v>
      </c>
      <c r="D283" t="s">
        <v>95</v>
      </c>
      <c r="E283" t="str">
        <f>Tabela2[[#This Row],[Curso]]&amp;Tabela2[[#This Row],[Dia]]&amp;Tabela2[[#This Row],[Horário]]</f>
        <v>SIN5214</v>
      </c>
    </row>
    <row r="284" spans="1:5" x14ac:dyDescent="0.25">
      <c r="A284" t="s">
        <v>21</v>
      </c>
      <c r="B284">
        <v>3</v>
      </c>
      <c r="C284">
        <v>14</v>
      </c>
      <c r="D284" t="s">
        <v>89</v>
      </c>
      <c r="E284" t="str">
        <f>Tabela2[[#This Row],[Curso]]&amp;Tabela2[[#This Row],[Dia]]&amp;Tabela2[[#This Row],[Horário]]</f>
        <v>SIN5314</v>
      </c>
    </row>
    <row r="285" spans="1:5" x14ac:dyDescent="0.25">
      <c r="A285" t="s">
        <v>21</v>
      </c>
      <c r="B285">
        <v>4</v>
      </c>
      <c r="C285">
        <v>14</v>
      </c>
      <c r="D285" t="s">
        <v>73</v>
      </c>
      <c r="E285" t="str">
        <f>Tabela2[[#This Row],[Curso]]&amp;Tabela2[[#This Row],[Dia]]&amp;Tabela2[[#This Row],[Horário]]</f>
        <v>SIN5414</v>
      </c>
    </row>
    <row r="286" spans="1:5" x14ac:dyDescent="0.25">
      <c r="A286" t="s">
        <v>21</v>
      </c>
      <c r="B286">
        <v>5</v>
      </c>
      <c r="C286">
        <v>14</v>
      </c>
      <c r="D286" t="s">
        <v>94</v>
      </c>
      <c r="E286" t="str">
        <f>Tabela2[[#This Row],[Curso]]&amp;Tabela2[[#This Row],[Dia]]&amp;Tabela2[[#This Row],[Horário]]</f>
        <v>SIN5514</v>
      </c>
    </row>
    <row r="287" spans="1:5" x14ac:dyDescent="0.25">
      <c r="A287" t="s">
        <v>21</v>
      </c>
      <c r="B287">
        <v>2</v>
      </c>
      <c r="C287">
        <v>15</v>
      </c>
      <c r="D287" t="s">
        <v>95</v>
      </c>
      <c r="E287" t="str">
        <f>Tabela2[[#This Row],[Curso]]&amp;Tabela2[[#This Row],[Dia]]&amp;Tabela2[[#This Row],[Horário]]</f>
        <v>SIN5215</v>
      </c>
    </row>
    <row r="288" spans="1:5" x14ac:dyDescent="0.25">
      <c r="A288" t="s">
        <v>21</v>
      </c>
      <c r="B288">
        <v>3</v>
      </c>
      <c r="C288">
        <v>15</v>
      </c>
      <c r="D288" t="s">
        <v>89</v>
      </c>
      <c r="E288" t="str">
        <f>Tabela2[[#This Row],[Curso]]&amp;Tabela2[[#This Row],[Dia]]&amp;Tabela2[[#This Row],[Horário]]</f>
        <v>SIN5315</v>
      </c>
    </row>
    <row r="289" spans="1:5" x14ac:dyDescent="0.25">
      <c r="A289" t="s">
        <v>23</v>
      </c>
      <c r="B289">
        <v>2</v>
      </c>
      <c r="C289">
        <v>11</v>
      </c>
      <c r="D289" t="s">
        <v>86</v>
      </c>
      <c r="E289" t="str">
        <f>Tabela2[[#This Row],[Curso]]&amp;Tabela2[[#This Row],[Dia]]&amp;Tabela2[[#This Row],[Horário]]</f>
        <v>SIN6211</v>
      </c>
    </row>
    <row r="290" spans="1:5" x14ac:dyDescent="0.25">
      <c r="A290" t="s">
        <v>23</v>
      </c>
      <c r="B290">
        <v>1</v>
      </c>
      <c r="C290">
        <v>12</v>
      </c>
      <c r="D290" t="s">
        <v>99</v>
      </c>
      <c r="E290" t="str">
        <f>Tabela2[[#This Row],[Curso]]&amp;Tabela2[[#This Row],[Dia]]&amp;Tabela2[[#This Row],[Horário]]</f>
        <v>SIN6112</v>
      </c>
    </row>
    <row r="291" spans="1:5" x14ac:dyDescent="0.25">
      <c r="A291" t="s">
        <v>23</v>
      </c>
      <c r="B291">
        <v>2</v>
      </c>
      <c r="C291">
        <v>12</v>
      </c>
      <c r="D291" t="s">
        <v>86</v>
      </c>
      <c r="E291" t="str">
        <f>Tabela2[[#This Row],[Curso]]&amp;Tabela2[[#This Row],[Dia]]&amp;Tabela2[[#This Row],[Horário]]</f>
        <v>SIN6212</v>
      </c>
    </row>
    <row r="292" spans="1:5" x14ac:dyDescent="0.25">
      <c r="A292" t="s">
        <v>23</v>
      </c>
      <c r="B292">
        <v>4</v>
      </c>
      <c r="C292">
        <v>12</v>
      </c>
      <c r="D292" t="s">
        <v>107</v>
      </c>
      <c r="E292" t="str">
        <f>Tabela2[[#This Row],[Curso]]&amp;Tabela2[[#This Row],[Dia]]&amp;Tabela2[[#This Row],[Horário]]</f>
        <v>SIN6412</v>
      </c>
    </row>
    <row r="293" spans="1:5" x14ac:dyDescent="0.25">
      <c r="A293" t="s">
        <v>23</v>
      </c>
      <c r="B293">
        <v>5</v>
      </c>
      <c r="C293">
        <v>12</v>
      </c>
      <c r="D293" t="s">
        <v>107</v>
      </c>
      <c r="E293" t="str">
        <f>Tabela2[[#This Row],[Curso]]&amp;Tabela2[[#This Row],[Dia]]&amp;Tabela2[[#This Row],[Horário]]</f>
        <v>SIN6512</v>
      </c>
    </row>
    <row r="294" spans="1:5" x14ac:dyDescent="0.25">
      <c r="A294" t="s">
        <v>23</v>
      </c>
      <c r="B294">
        <v>1</v>
      </c>
      <c r="C294">
        <v>13</v>
      </c>
      <c r="D294" t="s">
        <v>99</v>
      </c>
      <c r="E294" t="str">
        <f>Tabela2[[#This Row],[Curso]]&amp;Tabela2[[#This Row],[Dia]]&amp;Tabela2[[#This Row],[Horário]]</f>
        <v>SIN6113</v>
      </c>
    </row>
    <row r="295" spans="1:5" x14ac:dyDescent="0.25">
      <c r="A295" t="s">
        <v>23</v>
      </c>
      <c r="B295">
        <v>2</v>
      </c>
      <c r="C295">
        <v>13</v>
      </c>
      <c r="D295" t="s">
        <v>99</v>
      </c>
      <c r="E295" t="str">
        <f>Tabela2[[#This Row],[Curso]]&amp;Tabela2[[#This Row],[Dia]]&amp;Tabela2[[#This Row],[Horário]]</f>
        <v>SIN6213</v>
      </c>
    </row>
    <row r="296" spans="1:5" x14ac:dyDescent="0.25">
      <c r="A296" t="s">
        <v>23</v>
      </c>
      <c r="B296">
        <v>3</v>
      </c>
      <c r="C296">
        <v>13</v>
      </c>
      <c r="D296" t="s">
        <v>86</v>
      </c>
      <c r="E296" t="str">
        <f>Tabela2[[#This Row],[Curso]]&amp;Tabela2[[#This Row],[Dia]]&amp;Tabela2[[#This Row],[Horário]]</f>
        <v>SIN6313</v>
      </c>
    </row>
    <row r="297" spans="1:5" x14ac:dyDescent="0.25">
      <c r="A297" t="s">
        <v>23</v>
      </c>
      <c r="B297">
        <v>4</v>
      </c>
      <c r="C297">
        <v>13</v>
      </c>
      <c r="D297" t="s">
        <v>107</v>
      </c>
      <c r="E297" t="str">
        <f>Tabela2[[#This Row],[Curso]]&amp;Tabela2[[#This Row],[Dia]]&amp;Tabela2[[#This Row],[Horário]]</f>
        <v>SIN6413</v>
      </c>
    </row>
    <row r="298" spans="1:5" x14ac:dyDescent="0.25">
      <c r="A298" t="s">
        <v>23</v>
      </c>
      <c r="B298">
        <v>2</v>
      </c>
      <c r="C298">
        <v>14</v>
      </c>
      <c r="D298" t="s">
        <v>99</v>
      </c>
      <c r="E298" t="str">
        <f>Tabela2[[#This Row],[Curso]]&amp;Tabela2[[#This Row],[Dia]]&amp;Tabela2[[#This Row],[Horário]]</f>
        <v>SIN6214</v>
      </c>
    </row>
    <row r="299" spans="1:5" x14ac:dyDescent="0.25">
      <c r="A299" t="s">
        <v>23</v>
      </c>
      <c r="B299">
        <v>3</v>
      </c>
      <c r="C299">
        <v>14</v>
      </c>
      <c r="D299" t="s">
        <v>86</v>
      </c>
      <c r="E299" t="str">
        <f>Tabela2[[#This Row],[Curso]]&amp;Tabela2[[#This Row],[Dia]]&amp;Tabela2[[#This Row],[Horário]]</f>
        <v>SIN6314</v>
      </c>
    </row>
    <row r="300" spans="1:5" x14ac:dyDescent="0.25">
      <c r="A300" t="s">
        <v>24</v>
      </c>
      <c r="B300">
        <v>2</v>
      </c>
      <c r="C300">
        <v>11</v>
      </c>
      <c r="D300" t="s">
        <v>78</v>
      </c>
      <c r="E300" t="str">
        <f>Tabela2[[#This Row],[Curso]]&amp;Tabela2[[#This Row],[Dia]]&amp;Tabela2[[#This Row],[Horário]]</f>
        <v>SIN7211</v>
      </c>
    </row>
    <row r="301" spans="1:5" x14ac:dyDescent="0.25">
      <c r="A301" t="s">
        <v>24</v>
      </c>
      <c r="B301">
        <v>2</v>
      </c>
      <c r="C301">
        <v>12</v>
      </c>
      <c r="D301" t="s">
        <v>78</v>
      </c>
      <c r="E301" t="str">
        <f>Tabela2[[#This Row],[Curso]]&amp;Tabela2[[#This Row],[Dia]]&amp;Tabela2[[#This Row],[Horário]]</f>
        <v>SIN7212</v>
      </c>
    </row>
    <row r="302" spans="1:5" x14ac:dyDescent="0.25">
      <c r="A302" t="s">
        <v>24</v>
      </c>
      <c r="B302">
        <v>4</v>
      </c>
      <c r="C302">
        <v>14</v>
      </c>
      <c r="D302" t="s">
        <v>78</v>
      </c>
      <c r="E302" t="str">
        <f>Tabela2[[#This Row],[Curso]]&amp;Tabela2[[#This Row],[Dia]]&amp;Tabela2[[#This Row],[Horário]]</f>
        <v>SIN7414</v>
      </c>
    </row>
    <row r="303" spans="1:5" x14ac:dyDescent="0.25">
      <c r="A303" t="s">
        <v>24</v>
      </c>
      <c r="B303">
        <v>4</v>
      </c>
      <c r="C303">
        <v>15</v>
      </c>
      <c r="D303" t="s">
        <v>78</v>
      </c>
      <c r="E303" t="str">
        <f>Tabela2[[#This Row],[Curso]]&amp;Tabela2[[#This Row],[Dia]]&amp;Tabela2[[#This Row],[Horário]]</f>
        <v>SIN7415</v>
      </c>
    </row>
    <row r="304" spans="1:5" x14ac:dyDescent="0.25">
      <c r="A304" t="s">
        <v>20</v>
      </c>
      <c r="B304">
        <v>2</v>
      </c>
      <c r="C304">
        <v>11</v>
      </c>
      <c r="D304" t="s">
        <v>97</v>
      </c>
      <c r="E304" t="str">
        <f>Tabela2[[#This Row],[Curso]]&amp;Tabela2[[#This Row],[Dia]]&amp;Tabela2[[#This Row],[Horário]]</f>
        <v>SIN8211</v>
      </c>
    </row>
    <row r="305" spans="1:5" x14ac:dyDescent="0.25">
      <c r="A305" t="s">
        <v>20</v>
      </c>
      <c r="B305">
        <v>3</v>
      </c>
      <c r="C305">
        <v>11</v>
      </c>
      <c r="D305" t="s">
        <v>100</v>
      </c>
      <c r="E305" t="str">
        <f>Tabela2[[#This Row],[Curso]]&amp;Tabela2[[#This Row],[Dia]]&amp;Tabela2[[#This Row],[Horário]]</f>
        <v>SIN8311</v>
      </c>
    </row>
    <row r="306" spans="1:5" x14ac:dyDescent="0.25">
      <c r="A306" t="s">
        <v>20</v>
      </c>
      <c r="B306">
        <v>5</v>
      </c>
      <c r="C306">
        <v>11</v>
      </c>
      <c r="D306" t="s">
        <v>109</v>
      </c>
      <c r="E306" t="str">
        <f>Tabela2[[#This Row],[Curso]]&amp;Tabela2[[#This Row],[Dia]]&amp;Tabela2[[#This Row],[Horário]]</f>
        <v>SIN8511</v>
      </c>
    </row>
    <row r="307" spans="1:5" x14ac:dyDescent="0.25">
      <c r="A307" t="s">
        <v>20</v>
      </c>
      <c r="B307">
        <v>1</v>
      </c>
      <c r="C307">
        <v>12</v>
      </c>
      <c r="D307" t="s">
        <v>83</v>
      </c>
      <c r="E307" t="str">
        <f>Tabela2[[#This Row],[Curso]]&amp;Tabela2[[#This Row],[Dia]]&amp;Tabela2[[#This Row],[Horário]]</f>
        <v>SIN8112</v>
      </c>
    </row>
    <row r="308" spans="1:5" x14ac:dyDescent="0.25">
      <c r="A308" t="s">
        <v>20</v>
      </c>
      <c r="B308">
        <v>2</v>
      </c>
      <c r="C308">
        <v>12</v>
      </c>
      <c r="D308" t="s">
        <v>97</v>
      </c>
      <c r="E308" t="str">
        <f>Tabela2[[#This Row],[Curso]]&amp;Tabela2[[#This Row],[Dia]]&amp;Tabela2[[#This Row],[Horário]]</f>
        <v>SIN8212</v>
      </c>
    </row>
    <row r="309" spans="1:5" x14ac:dyDescent="0.25">
      <c r="A309" t="s">
        <v>20</v>
      </c>
      <c r="B309">
        <v>3</v>
      </c>
      <c r="C309">
        <v>12</v>
      </c>
      <c r="D309" t="s">
        <v>100</v>
      </c>
      <c r="E309" t="str">
        <f>Tabela2[[#This Row],[Curso]]&amp;Tabela2[[#This Row],[Dia]]&amp;Tabela2[[#This Row],[Horário]]</f>
        <v>SIN8312</v>
      </c>
    </row>
    <row r="310" spans="1:5" x14ac:dyDescent="0.25">
      <c r="A310" t="s">
        <v>20</v>
      </c>
      <c r="B310">
        <v>5</v>
      </c>
      <c r="C310">
        <v>12</v>
      </c>
      <c r="D310" t="s">
        <v>109</v>
      </c>
      <c r="E310" t="str">
        <f>Tabela2[[#This Row],[Curso]]&amp;Tabela2[[#This Row],[Dia]]&amp;Tabela2[[#This Row],[Horário]]</f>
        <v>SIN8512</v>
      </c>
    </row>
    <row r="311" spans="1:5" x14ac:dyDescent="0.25">
      <c r="A311" t="s">
        <v>20</v>
      </c>
      <c r="B311">
        <v>1</v>
      </c>
      <c r="C311">
        <v>13</v>
      </c>
      <c r="D311" t="s">
        <v>83</v>
      </c>
      <c r="E311" t="str">
        <f>Tabela2[[#This Row],[Curso]]&amp;Tabela2[[#This Row],[Dia]]&amp;Tabela2[[#This Row],[Horário]]</f>
        <v>SIN8113</v>
      </c>
    </row>
    <row r="312" spans="1:5" x14ac:dyDescent="0.25">
      <c r="A312" t="s">
        <v>20</v>
      </c>
      <c r="B312">
        <v>2</v>
      </c>
      <c r="C312">
        <v>13</v>
      </c>
      <c r="D312" t="s">
        <v>83</v>
      </c>
      <c r="E312" t="str">
        <f>Tabela2[[#This Row],[Curso]]&amp;Tabela2[[#This Row],[Dia]]&amp;Tabela2[[#This Row],[Horário]]</f>
        <v>SIN8213</v>
      </c>
    </row>
    <row r="313" spans="1:5" x14ac:dyDescent="0.25">
      <c r="A313" t="s">
        <v>20</v>
      </c>
      <c r="B313">
        <v>1</v>
      </c>
      <c r="C313">
        <v>14</v>
      </c>
      <c r="D313" t="s">
        <v>100</v>
      </c>
      <c r="E313" t="str">
        <f>Tabela2[[#This Row],[Curso]]&amp;Tabela2[[#This Row],[Dia]]&amp;Tabela2[[#This Row],[Horário]]</f>
        <v>SIN8114</v>
      </c>
    </row>
    <row r="314" spans="1:5" x14ac:dyDescent="0.25">
      <c r="A314" t="s">
        <v>20</v>
      </c>
      <c r="B314">
        <v>2</v>
      </c>
      <c r="C314">
        <v>14</v>
      </c>
      <c r="D314" t="s">
        <v>83</v>
      </c>
      <c r="E314" t="str">
        <f>Tabela2[[#This Row],[Curso]]&amp;Tabela2[[#This Row],[Dia]]&amp;Tabela2[[#This Row],[Horário]]</f>
        <v>SIN8214</v>
      </c>
    </row>
    <row r="315" spans="1:5" x14ac:dyDescent="0.25">
      <c r="A315" t="s">
        <v>20</v>
      </c>
      <c r="B315">
        <v>4</v>
      </c>
      <c r="C315">
        <v>14</v>
      </c>
      <c r="D315" t="s">
        <v>97</v>
      </c>
      <c r="E315" t="str">
        <f>Tabela2[[#This Row],[Curso]]&amp;Tabela2[[#This Row],[Dia]]&amp;Tabela2[[#This Row],[Horário]]</f>
        <v>SIN8414</v>
      </c>
    </row>
    <row r="316" spans="1:5" x14ac:dyDescent="0.25">
      <c r="A316" t="s">
        <v>20</v>
      </c>
      <c r="B316">
        <v>1</v>
      </c>
      <c r="C316">
        <v>15</v>
      </c>
      <c r="D316" t="s">
        <v>100</v>
      </c>
      <c r="E316" t="str">
        <f>Tabela2[[#This Row],[Curso]]&amp;Tabela2[[#This Row],[Dia]]&amp;Tabela2[[#This Row],[Horário]]</f>
        <v>SIN8115</v>
      </c>
    </row>
    <row r="317" spans="1:5" x14ac:dyDescent="0.25">
      <c r="A317" t="s">
        <v>20</v>
      </c>
      <c r="B317">
        <v>2</v>
      </c>
      <c r="C317">
        <v>15</v>
      </c>
      <c r="D317" t="s">
        <v>109</v>
      </c>
      <c r="E317" t="str">
        <f>Tabela2[[#This Row],[Curso]]&amp;Tabela2[[#This Row],[Dia]]&amp;Tabela2[[#This Row],[Horário]]</f>
        <v>SIN8215</v>
      </c>
    </row>
    <row r="318" spans="1:5" x14ac:dyDescent="0.25">
      <c r="A318" t="s">
        <v>20</v>
      </c>
      <c r="B318">
        <v>4</v>
      </c>
      <c r="C318">
        <v>15</v>
      </c>
      <c r="D318" t="s">
        <v>97</v>
      </c>
      <c r="E318" t="str">
        <f>Tabela2[[#This Row],[Curso]]&amp;Tabela2[[#This Row],[Dia]]&amp;Tabela2[[#This Row],[Horário]]</f>
        <v>SIN8415</v>
      </c>
    </row>
    <row r="319" spans="1:5" x14ac:dyDescent="0.25">
      <c r="A319" t="s">
        <v>22</v>
      </c>
      <c r="B319">
        <v>1</v>
      </c>
      <c r="C319">
        <v>11</v>
      </c>
      <c r="D319" t="s">
        <v>75</v>
      </c>
      <c r="E319" t="str">
        <f>Tabela2[[#This Row],[Curso]]&amp;Tabela2[[#This Row],[Dia]]&amp;Tabela2[[#This Row],[Horário]]</f>
        <v>SIN9111</v>
      </c>
    </row>
    <row r="320" spans="1:5" x14ac:dyDescent="0.25">
      <c r="A320" t="s">
        <v>22</v>
      </c>
      <c r="B320">
        <v>1</v>
      </c>
      <c r="C320">
        <v>12</v>
      </c>
      <c r="D320" t="s">
        <v>75</v>
      </c>
      <c r="E320" t="str">
        <f>Tabela2[[#This Row],[Curso]]&amp;Tabela2[[#This Row],[Dia]]&amp;Tabela2[[#This Row],[Horário]]</f>
        <v>SIN9112</v>
      </c>
    </row>
    <row r="321" spans="1:5" x14ac:dyDescent="0.25">
      <c r="A321" t="s">
        <v>22</v>
      </c>
      <c r="B321">
        <v>3</v>
      </c>
      <c r="C321">
        <v>14</v>
      </c>
      <c r="D321" t="s">
        <v>75</v>
      </c>
      <c r="E321" t="str">
        <f>Tabela2[[#This Row],[Curso]]&amp;Tabela2[[#This Row],[Dia]]&amp;Tabela2[[#This Row],[Horário]]</f>
        <v>SIN9314</v>
      </c>
    </row>
    <row r="322" spans="1:5" x14ac:dyDescent="0.25">
      <c r="A322" t="s">
        <v>22</v>
      </c>
      <c r="B322">
        <v>3</v>
      </c>
      <c r="C322">
        <v>15</v>
      </c>
      <c r="D322" t="s">
        <v>75</v>
      </c>
      <c r="E322" t="str">
        <f>Tabela2[[#This Row],[Curso]]&amp;Tabela2[[#This Row],[Dia]]&amp;Tabela2[[#This Row],[Horário]]</f>
        <v>SIN9315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D384A-4D4F-436D-897E-3BE6E44AD49B}">
  <sheetPr codeName="Planilha18"/>
  <dimension ref="A1:Z100"/>
  <sheetViews>
    <sheetView showGridLines="0" showRowColHeaders="0" workbookViewId="0">
      <selection activeCell="D11" sqref="D11:D15"/>
    </sheetView>
  </sheetViews>
  <sheetFormatPr defaultColWidth="14.85546875" defaultRowHeight="27.75" customHeight="1" x14ac:dyDescent="0.25"/>
  <cols>
    <col min="1" max="2" width="14.85546875" style="2"/>
    <col min="3" max="10" width="21.28515625" style="2" customWidth="1"/>
    <col min="11" max="16384" width="14.85546875" style="2"/>
  </cols>
  <sheetData>
    <row r="1" spans="1:26" ht="32.2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27.75" customHeight="1" x14ac:dyDescent="0.25">
      <c r="A2" s="1"/>
      <c r="B2" s="1"/>
    </row>
    <row r="3" spans="1:26" ht="27.75" customHeight="1" x14ac:dyDescent="0.25">
      <c r="A3" s="1"/>
      <c r="B3" s="1"/>
      <c r="C3" s="10" t="s">
        <v>12</v>
      </c>
      <c r="E3" s="10">
        <v>1</v>
      </c>
      <c r="F3" s="10">
        <v>2</v>
      </c>
      <c r="G3" s="10">
        <v>3</v>
      </c>
      <c r="H3" s="10">
        <v>4</v>
      </c>
      <c r="I3" s="10">
        <v>5</v>
      </c>
    </row>
    <row r="4" spans="1:26" ht="27.75" customHeight="1" x14ac:dyDescent="0.25">
      <c r="A4" s="1"/>
      <c r="B4" s="1"/>
      <c r="D4" s="8"/>
      <c r="E4" s="9" t="s">
        <v>0</v>
      </c>
      <c r="F4" s="9" t="s">
        <v>1</v>
      </c>
      <c r="G4" s="9" t="s">
        <v>2</v>
      </c>
      <c r="H4" s="9" t="s">
        <v>3</v>
      </c>
      <c r="I4" s="9" t="s">
        <v>4</v>
      </c>
    </row>
    <row r="5" spans="1:26" ht="27.75" customHeight="1" x14ac:dyDescent="0.25">
      <c r="A5" s="1"/>
      <c r="B5" s="1"/>
      <c r="C5" s="10">
        <v>1</v>
      </c>
      <c r="D5" s="3">
        <v>0.29166666666666669</v>
      </c>
      <c r="E5" s="7" t="str">
        <f>IFERROR(INDEX(Tabela2[[Disciplina]:[Disciplina]],MATCH($C$3&amp;E$3&amp;$C5,Tabela2[[aux]:[aux]],0)),"-")</f>
        <v>-</v>
      </c>
      <c r="F5" s="7" t="str">
        <f>IFERROR(INDEX(Tabela2[[Disciplina]:[Disciplina]],MATCH($C$3&amp;F$3&amp;$C5,Tabela2[[aux]:[aux]],0)),"-")</f>
        <v>XRSC06</v>
      </c>
      <c r="G5" s="7" t="str">
        <f>IFERROR(INDEX(Tabela2[[Disciplina]:[Disciplina]],MATCH($C$3&amp;G$3&amp;$C5,Tabela2[[aux]:[aux]],0)),"-")</f>
        <v>-</v>
      </c>
      <c r="H5" s="7" t="str">
        <f>IFERROR(INDEX(Tabela2[[Disciplina]:[Disciplina]],MATCH($C$3&amp;H$3&amp;$C5,Tabela2[[aux]:[aux]],0)),"-")</f>
        <v>XRSC07</v>
      </c>
      <c r="I5" s="7" t="str">
        <f>IFERROR(INDEX(Tabela2[[Disciplina]:[Disciplina]],MATCH($C$3&amp;I$3&amp;$C5,Tabela2[[aux]:[aux]],0)),"-")</f>
        <v>XMCO03</v>
      </c>
    </row>
    <row r="6" spans="1:26" ht="27.75" customHeight="1" x14ac:dyDescent="0.25">
      <c r="A6" s="1"/>
      <c r="B6" s="1"/>
      <c r="C6" s="10">
        <v>2</v>
      </c>
      <c r="D6" s="3">
        <v>0.3298611111111111</v>
      </c>
      <c r="E6" s="7" t="str">
        <f>IFERROR(INDEX(Tabela2[[Disciplina]:[Disciplina]],MATCH($C$3&amp;E$3&amp;$C6,Tabela2[[aux]:[aux]],0)),"-")</f>
        <v>-</v>
      </c>
      <c r="F6" s="7" t="str">
        <f>IFERROR(INDEX(Tabela2[[Disciplina]:[Disciplina]],MATCH($C$3&amp;F$3&amp;$C6,Tabela2[[aux]:[aux]],0)),"-")</f>
        <v>XRSC06</v>
      </c>
      <c r="G6" s="7" t="str">
        <f>IFERROR(INDEX(Tabela2[[Disciplina]:[Disciplina]],MATCH($C$3&amp;G$3&amp;$C6,Tabela2[[aux]:[aux]],0)),"-")</f>
        <v>XRSC06</v>
      </c>
      <c r="H6" s="7" t="str">
        <f>IFERROR(INDEX(Tabela2[[Disciplina]:[Disciplina]],MATCH($C$3&amp;H$3&amp;$C6,Tabela2[[aux]:[aux]],0)),"-")</f>
        <v>XRSC07</v>
      </c>
      <c r="I6" s="7" t="str">
        <f>IFERROR(INDEX(Tabela2[[Disciplina]:[Disciplina]],MATCH($C$3&amp;I$3&amp;$C6,Tabela2[[aux]:[aux]],0)),"-")</f>
        <v>XMCO03</v>
      </c>
    </row>
    <row r="7" spans="1:26" ht="27.75" customHeight="1" x14ac:dyDescent="0.25">
      <c r="A7" s="1"/>
      <c r="B7" s="1"/>
      <c r="C7" s="10">
        <v>3</v>
      </c>
      <c r="D7" s="3">
        <v>0.36805555555555558</v>
      </c>
      <c r="E7" s="7" t="str">
        <f>IFERROR(INDEX(Tabela2[[Disciplina]:[Disciplina]],MATCH($C$3&amp;E$3&amp;$C7,Tabela2[[aux]:[aux]],0)),"-")</f>
        <v>XRSC07</v>
      </c>
      <c r="F7" s="7" t="str">
        <f>IFERROR(INDEX(Tabela2[[Disciplina]:[Disciplina]],MATCH($C$3&amp;F$3&amp;$C7,Tabela2[[aux]:[aux]],0)),"-")</f>
        <v>-</v>
      </c>
      <c r="G7" s="7" t="str">
        <f>IFERROR(INDEX(Tabela2[[Disciplina]:[Disciplina]],MATCH($C$3&amp;G$3&amp;$C7,Tabela2[[aux]:[aux]],0)),"-")</f>
        <v>XRSC06</v>
      </c>
      <c r="H7" s="7" t="str">
        <f>IFERROR(INDEX(Tabela2[[Disciplina]:[Disciplina]],MATCH($C$3&amp;H$3&amp;$C7,Tabela2[[aux]:[aux]],0)),"-")</f>
        <v>-</v>
      </c>
      <c r="I7" s="7" t="str">
        <f>IFERROR(INDEX(Tabela2[[Disciplina]:[Disciplina]],MATCH($C$3&amp;I$3&amp;$C7,Tabela2[[aux]:[aux]],0)),"-")</f>
        <v>XPAD08</v>
      </c>
    </row>
    <row r="8" spans="1:26" ht="27.75" customHeight="1" x14ac:dyDescent="0.25">
      <c r="A8" s="1"/>
      <c r="B8" s="1"/>
      <c r="C8" s="10">
        <v>4</v>
      </c>
      <c r="D8" s="3">
        <v>0.4236111111111111</v>
      </c>
      <c r="E8" s="7" t="str">
        <f>IFERROR(INDEX(Tabela2[[Disciplina]:[Disciplina]],MATCH($C$3&amp;E$3&amp;$C8,Tabela2[[aux]:[aux]],0)),"-")</f>
        <v>XRSC07</v>
      </c>
      <c r="F8" s="7" t="str">
        <f>IFERROR(INDEX(Tabela2[[Disciplina]:[Disciplina]],MATCH($C$3&amp;F$3&amp;$C8,Tabela2[[aux]:[aux]],0)),"-")</f>
        <v>-</v>
      </c>
      <c r="G8" s="7" t="str">
        <f>IFERROR(INDEX(Tabela2[[Disciplina]:[Disciplina]],MATCH($C$3&amp;G$3&amp;$C8,Tabela2[[aux]:[aux]],0)),"-")</f>
        <v>SADG02</v>
      </c>
      <c r="H8" s="7" t="str">
        <f>IFERROR(INDEX(Tabela2[[Disciplina]:[Disciplina]],MATCH($C$3&amp;H$3&amp;$C8,Tabela2[[aux]:[aux]],0)),"-")</f>
        <v>-</v>
      </c>
      <c r="I8" s="7" t="str">
        <f>IFERROR(INDEX(Tabela2[[Disciplina]:[Disciplina]],MATCH($C$3&amp;I$3&amp;$C8,Tabela2[[aux]:[aux]],0)),"-")</f>
        <v>XPAD08</v>
      </c>
    </row>
    <row r="9" spans="1:26" ht="27.75" customHeight="1" x14ac:dyDescent="0.25">
      <c r="A9" s="1"/>
      <c r="B9" s="1"/>
      <c r="C9" s="10">
        <v>5</v>
      </c>
      <c r="D9" s="4">
        <v>0.46180555555555558</v>
      </c>
      <c r="E9" s="7" t="str">
        <f>IFERROR(INDEX(Tabela2[[Disciplina]:[Disciplina]],MATCH($C$3&amp;E$3&amp;$C9,Tabela2[[aux]:[aux]],0)),"-")</f>
        <v>-</v>
      </c>
      <c r="F9" s="7" t="str">
        <f>IFERROR(INDEX(Tabela2[[Disciplina]:[Disciplina]],MATCH($C$3&amp;F$3&amp;$C9,Tabela2[[aux]:[aux]],0)),"-")</f>
        <v>XPAD08</v>
      </c>
      <c r="G9" s="7" t="str">
        <f>IFERROR(INDEX(Tabela2[[Disciplina]:[Disciplina]],MATCH($C$3&amp;G$3&amp;$C9,Tabela2[[aux]:[aux]],0)),"-")</f>
        <v>SADG02</v>
      </c>
      <c r="H9" s="7" t="str">
        <f>IFERROR(INDEX(Tabela2[[Disciplina]:[Disciplina]],MATCH($C$3&amp;H$3&amp;$C9,Tabela2[[aux]:[aux]],0)),"-")</f>
        <v>XMCO03</v>
      </c>
      <c r="I9" s="7" t="str">
        <f>IFERROR(INDEX(Tabela2[[Disciplina]:[Disciplina]],MATCH($C$3&amp;I$3&amp;$C9,Tabela2[[aux]:[aux]],0)),"-")</f>
        <v>-</v>
      </c>
    </row>
    <row r="10" spans="1:26" ht="8.25" customHeight="1" x14ac:dyDescent="0.25">
      <c r="A10" s="1"/>
      <c r="B10" s="1"/>
      <c r="C10" s="10"/>
      <c r="D10" s="5"/>
      <c r="E10" s="7" t="str">
        <f>IFERROR(INDEX(Tabela2[[Disciplina]:[Disciplina]],MATCH($C$3&amp;E$3&amp;$C10,Tabela2[[aux]:[aux]],0)),"-")</f>
        <v>-</v>
      </c>
      <c r="F10" s="7" t="str">
        <f>IFERROR(INDEX(Tabela2[[Disciplina]:[Disciplina]],MATCH($C$3&amp;F$3&amp;$C10,Tabela2[[aux]:[aux]],0)),"-")</f>
        <v>-</v>
      </c>
      <c r="G10" s="7" t="str">
        <f>IFERROR(INDEX(Tabela2[[Disciplina]:[Disciplina]],MATCH($C$3&amp;G$3&amp;$C10,Tabela2[[aux]:[aux]],0)),"-")</f>
        <v>-</v>
      </c>
      <c r="H10" s="7" t="str">
        <f>IFERROR(INDEX(Tabela2[[Disciplina]:[Disciplina]],MATCH($C$3&amp;H$3&amp;$C10,Tabela2[[aux]:[aux]],0)),"-")</f>
        <v>-</v>
      </c>
      <c r="I10" s="7" t="str">
        <f>IFERROR(INDEX(Tabela2[[Disciplina]:[Disciplina]],MATCH($C$3&amp;I$3&amp;$C10,Tabela2[[aux]:[aux]],0)),"-")</f>
        <v>-</v>
      </c>
    </row>
    <row r="11" spans="1:26" ht="27.75" customHeight="1" x14ac:dyDescent="0.25">
      <c r="A11" s="1"/>
      <c r="B11" s="1"/>
      <c r="C11" s="10">
        <v>6</v>
      </c>
      <c r="D11" s="6">
        <v>0.5625</v>
      </c>
      <c r="E11" s="7" t="str">
        <f>IFERROR(INDEX(Tabela2[[Disciplina]:[Disciplina]],MATCH($C$3&amp;E$3&amp;$C11,Tabela2[[aux]:[aux]],0)),"-")</f>
        <v>-</v>
      </c>
      <c r="F11" s="7" t="str">
        <f>IFERROR(INDEX(Tabela2[[Disciplina]:[Disciplina]],MATCH($C$3&amp;F$3&amp;$C11,Tabela2[[aux]:[aux]],0)),"-")</f>
        <v>XPAD08</v>
      </c>
      <c r="G11" s="7" t="str">
        <f>IFERROR(INDEX(Tabela2[[Disciplina]:[Disciplina]],MATCH($C$3&amp;G$3&amp;$C11,Tabela2[[aux]:[aux]],0)),"-")</f>
        <v>-</v>
      </c>
      <c r="H11" s="7" t="str">
        <f>IFERROR(INDEX(Tabela2[[Disciplina]:[Disciplina]],MATCH($C$3&amp;H$3&amp;$C11,Tabela2[[aux]:[aux]],0)),"-")</f>
        <v>XMCO03</v>
      </c>
      <c r="I11" s="7" t="str">
        <f>IFERROR(INDEX(Tabela2[[Disciplina]:[Disciplina]],MATCH($C$3&amp;I$3&amp;$C11,Tabela2[[aux]:[aux]],0)),"-")</f>
        <v>SADG02</v>
      </c>
    </row>
    <row r="12" spans="1:26" ht="27.75" customHeight="1" x14ac:dyDescent="0.25">
      <c r="A12" s="1"/>
      <c r="B12" s="1"/>
      <c r="C12" s="10">
        <v>7</v>
      </c>
      <c r="D12" s="3">
        <v>0.60069444444444442</v>
      </c>
      <c r="E12" s="7" t="str">
        <f>IFERROR(INDEX(Tabela2[[Disciplina]:[Disciplina]],MATCH($C$3&amp;E$3&amp;$C12,Tabela2[[aux]:[aux]],0)),"-")</f>
        <v>-</v>
      </c>
      <c r="F12" s="7" t="str">
        <f>IFERROR(INDEX(Tabela2[[Disciplina]:[Disciplina]],MATCH($C$3&amp;F$3&amp;$C12,Tabela2[[aux]:[aux]],0)),"-")</f>
        <v>-</v>
      </c>
      <c r="G12" s="7" t="str">
        <f>IFERROR(INDEX(Tabela2[[Disciplina]:[Disciplina]],MATCH($C$3&amp;G$3&amp;$C12,Tabela2[[aux]:[aux]],0)),"-")</f>
        <v>-</v>
      </c>
      <c r="H12" s="7" t="str">
        <f>IFERROR(INDEX(Tabela2[[Disciplina]:[Disciplina]],MATCH($C$3&amp;H$3&amp;$C12,Tabela2[[aux]:[aux]],0)),"-")</f>
        <v>-</v>
      </c>
      <c r="I12" s="7" t="str">
        <f>IFERROR(INDEX(Tabela2[[Disciplina]:[Disciplina]],MATCH($C$3&amp;I$3&amp;$C12,Tabela2[[aux]:[aux]],0)),"-")</f>
        <v>SADG02</v>
      </c>
    </row>
    <row r="13" spans="1:26" ht="27.75" customHeight="1" x14ac:dyDescent="0.25">
      <c r="A13" s="1"/>
      <c r="B13" s="1"/>
      <c r="C13" s="10">
        <v>8</v>
      </c>
      <c r="D13" s="3">
        <v>0.65625</v>
      </c>
      <c r="E13" s="7" t="str">
        <f>IFERROR(INDEX(Tabela2[[Disciplina]:[Disciplina]],MATCH($C$3&amp;E$3&amp;$C13,Tabela2[[aux]:[aux]],0)),"-")</f>
        <v>CRSC08</v>
      </c>
      <c r="F13" s="7" t="str">
        <f>IFERROR(INDEX(Tabela2[[Disciplina]:[Disciplina]],MATCH($C$3&amp;F$3&amp;$C13,Tabela2[[aux]:[aux]],0)),"-")</f>
        <v>XPAD09</v>
      </c>
      <c r="G13" s="7" t="str">
        <f>IFERROR(INDEX(Tabela2[[Disciplina]:[Disciplina]],MATCH($C$3&amp;G$3&amp;$C13,Tabela2[[aux]:[aux]],0)),"-")</f>
        <v>-</v>
      </c>
      <c r="H13" s="7" t="str">
        <f>IFERROR(INDEX(Tabela2[[Disciplina]:[Disciplina]],MATCH($C$3&amp;H$3&amp;$C13,Tabela2[[aux]:[aux]],0)),"-")</f>
        <v>-</v>
      </c>
      <c r="I13" s="7" t="str">
        <f>IFERROR(INDEX(Tabela2[[Disciplina]:[Disciplina]],MATCH($C$3&amp;I$3&amp;$C13,Tabela2[[aux]:[aux]],0)),"-")</f>
        <v>-</v>
      </c>
    </row>
    <row r="14" spans="1:26" ht="27.75" customHeight="1" x14ac:dyDescent="0.25">
      <c r="A14" s="1"/>
      <c r="B14" s="1"/>
      <c r="C14" s="10">
        <v>9</v>
      </c>
      <c r="D14" s="3">
        <v>0.69444444444444442</v>
      </c>
      <c r="E14" s="7" t="str">
        <f>IFERROR(INDEX(Tabela2[[Disciplina]:[Disciplina]],MATCH($C$3&amp;E$3&amp;$C14,Tabela2[[aux]:[aux]],0)),"-")</f>
        <v>CRSC08</v>
      </c>
      <c r="F14" s="7" t="str">
        <f>IFERROR(INDEX(Tabela2[[Disciplina]:[Disciplina]],MATCH($C$3&amp;F$3&amp;$C14,Tabela2[[aux]:[aux]],0)),"-")</f>
        <v>XPAD09</v>
      </c>
      <c r="G14" s="7" t="str">
        <f>IFERROR(INDEX(Tabela2[[Disciplina]:[Disciplina]],MATCH($C$3&amp;G$3&amp;$C14,Tabela2[[aux]:[aux]],0)),"-")</f>
        <v>-</v>
      </c>
      <c r="H14" s="7" t="str">
        <f>IFERROR(INDEX(Tabela2[[Disciplina]:[Disciplina]],MATCH($C$3&amp;H$3&amp;$C14,Tabela2[[aux]:[aux]],0)),"-")</f>
        <v>-</v>
      </c>
      <c r="I14" s="7" t="str">
        <f>IFERROR(INDEX(Tabela2[[Disciplina]:[Disciplina]],MATCH($C$3&amp;I$3&amp;$C14,Tabela2[[aux]:[aux]],0)),"-")</f>
        <v>-</v>
      </c>
    </row>
    <row r="15" spans="1:26" ht="27.75" customHeight="1" x14ac:dyDescent="0.25">
      <c r="A15" s="1"/>
      <c r="B15" s="1"/>
      <c r="C15" s="10">
        <v>10</v>
      </c>
      <c r="D15" s="3">
        <v>0.73263888888888884</v>
      </c>
      <c r="E15" s="7" t="str">
        <f>IFERROR(INDEX(Tabela2[[Disciplina]:[Disciplina]],MATCH($C$3&amp;E$3&amp;$C15,Tabela2[[aux]:[aux]],0)),"-")</f>
        <v>-</v>
      </c>
      <c r="F15" s="7" t="str">
        <f>IFERROR(INDEX(Tabela2[[Disciplina]:[Disciplina]],MATCH($C$3&amp;F$3&amp;$C15,Tabela2[[aux]:[aux]],0)),"-")</f>
        <v>-</v>
      </c>
      <c r="G15" s="7" t="str">
        <f>IFERROR(INDEX(Tabela2[[Disciplina]:[Disciplina]],MATCH($C$3&amp;G$3&amp;$C15,Tabela2[[aux]:[aux]],0)),"-")</f>
        <v>CRSC08</v>
      </c>
      <c r="H15" s="7" t="str">
        <f>IFERROR(INDEX(Tabela2[[Disciplina]:[Disciplina]],MATCH($C$3&amp;H$3&amp;$C15,Tabela2[[aux]:[aux]],0)),"-")</f>
        <v>-</v>
      </c>
      <c r="I15" s="7" t="str">
        <f>IFERROR(INDEX(Tabela2[[Disciplina]:[Disciplina]],MATCH($C$3&amp;I$3&amp;$C15,Tabela2[[aux]:[aux]],0)),"-")</f>
        <v>-</v>
      </c>
    </row>
    <row r="16" spans="1:26" ht="8.25" customHeight="1" x14ac:dyDescent="0.25">
      <c r="A16" s="1"/>
      <c r="B16" s="1"/>
      <c r="D16" s="11"/>
      <c r="E16" s="7" t="str">
        <f>IFERROR(INDEX(Tabela2[[Disciplina]:[Disciplina]],MATCH($C$3&amp;E$3&amp;$C16,Tabela2[[aux]:[aux]],0)),"-")</f>
        <v>-</v>
      </c>
      <c r="F16" s="7" t="str">
        <f>IFERROR(INDEX(Tabela2[[Disciplina]:[Disciplina]],MATCH($C$3&amp;F$3&amp;$C16,Tabela2[[aux]:[aux]],0)),"-")</f>
        <v>-</v>
      </c>
      <c r="G16" s="7" t="str">
        <f>IFERROR(INDEX(Tabela2[[Disciplina]:[Disciplina]],MATCH($C$3&amp;G$3&amp;$C16,Tabela2[[aux]:[aux]],0)),"-")</f>
        <v>-</v>
      </c>
      <c r="H16" s="7" t="str">
        <f>IFERROR(INDEX(Tabela2[[Disciplina]:[Disciplina]],MATCH($C$3&amp;H$3&amp;$C16,Tabela2[[aux]:[aux]],0)),"-")</f>
        <v>-</v>
      </c>
      <c r="I16" s="7" t="str">
        <f>IFERROR(INDEX(Tabela2[[Disciplina]:[Disciplina]],MATCH($C$3&amp;I$3&amp;$C16,Tabela2[[aux]:[aux]],0)),"-")</f>
        <v>-</v>
      </c>
    </row>
    <row r="17" spans="1:9" ht="27.75" customHeight="1" x14ac:dyDescent="0.25">
      <c r="A17" s="1"/>
      <c r="B17" s="1"/>
      <c r="C17" s="10">
        <v>11</v>
      </c>
      <c r="D17" s="3">
        <v>0.79166666666666663</v>
      </c>
      <c r="E17" s="7" t="str">
        <f>IFERROR(INDEX(Tabela2[[Disciplina]:[Disciplina]],MATCH($C$3&amp;E$3&amp;$C17,Tabela2[[aux]:[aux]],0)),"-")</f>
        <v>-</v>
      </c>
      <c r="F17" s="7" t="str">
        <f>IFERROR(INDEX(Tabela2[[Disciplina]:[Disciplina]],MATCH($C$3&amp;F$3&amp;$C17,Tabela2[[aux]:[aux]],0)),"-")</f>
        <v>-</v>
      </c>
      <c r="G17" s="7" t="str">
        <f>IFERROR(INDEX(Tabela2[[Disciplina]:[Disciplina]],MATCH($C$3&amp;G$3&amp;$C17,Tabela2[[aux]:[aux]],0)),"-")</f>
        <v>CRSC08</v>
      </c>
      <c r="H17" s="7" t="str">
        <f>IFERROR(INDEX(Tabela2[[Disciplina]:[Disciplina]],MATCH($C$3&amp;H$3&amp;$C17,Tabela2[[aux]:[aux]],0)),"-")</f>
        <v>-</v>
      </c>
      <c r="I17" s="7" t="str">
        <f>IFERROR(INDEX(Tabela2[[Disciplina]:[Disciplina]],MATCH($C$3&amp;I$3&amp;$C17,Tabela2[[aux]:[aux]],0)),"-")</f>
        <v>-</v>
      </c>
    </row>
    <row r="18" spans="1:9" ht="27.75" customHeight="1" x14ac:dyDescent="0.25">
      <c r="A18" s="1"/>
      <c r="B18" s="1"/>
      <c r="C18" s="10">
        <v>12</v>
      </c>
      <c r="D18" s="3">
        <v>0.82638888888888884</v>
      </c>
      <c r="E18" s="7" t="str">
        <f>IFERROR(INDEX(Tabela2[[Disciplina]:[Disciplina]],MATCH($C$3&amp;E$3&amp;$C18,Tabela2[[aux]:[aux]],0)),"-")</f>
        <v>-</v>
      </c>
      <c r="F18" s="7" t="str">
        <f>IFERROR(INDEX(Tabela2[[Disciplina]:[Disciplina]],MATCH($C$3&amp;F$3&amp;$C18,Tabela2[[aux]:[aux]],0)),"-")</f>
        <v>-</v>
      </c>
      <c r="G18" s="7" t="str">
        <f>IFERROR(INDEX(Tabela2[[Disciplina]:[Disciplina]],MATCH($C$3&amp;G$3&amp;$C18,Tabela2[[aux]:[aux]],0)),"-")</f>
        <v>XPAD09</v>
      </c>
      <c r="H18" s="7" t="str">
        <f>IFERROR(INDEX(Tabela2[[Disciplina]:[Disciplina]],MATCH($C$3&amp;H$3&amp;$C18,Tabela2[[aux]:[aux]],0)),"-")</f>
        <v>-</v>
      </c>
      <c r="I18" s="7" t="str">
        <f>IFERROR(INDEX(Tabela2[[Disciplina]:[Disciplina]],MATCH($C$3&amp;I$3&amp;$C18,Tabela2[[aux]:[aux]],0)),"-")</f>
        <v>-</v>
      </c>
    </row>
    <row r="19" spans="1:9" ht="27.75" customHeight="1" x14ac:dyDescent="0.25">
      <c r="A19" s="1"/>
      <c r="B19" s="1"/>
      <c r="C19" s="10">
        <v>13</v>
      </c>
      <c r="D19" s="3">
        <v>0.875</v>
      </c>
      <c r="E19" s="7" t="str">
        <f>IFERROR(INDEX(Tabela2[[Disciplina]:[Disciplina]],MATCH($C$3&amp;E$3&amp;$C19,Tabela2[[aux]:[aux]],0)),"-")</f>
        <v>-</v>
      </c>
      <c r="F19" s="7" t="str">
        <f>IFERROR(INDEX(Tabela2[[Disciplina]:[Disciplina]],MATCH($C$3&amp;F$3&amp;$C19,Tabela2[[aux]:[aux]],0)),"-")</f>
        <v>-</v>
      </c>
      <c r="G19" s="7" t="str">
        <f>IFERROR(INDEX(Tabela2[[Disciplina]:[Disciplina]],MATCH($C$3&amp;G$3&amp;$C19,Tabela2[[aux]:[aux]],0)),"-")</f>
        <v>XPAD09</v>
      </c>
      <c r="H19" s="7" t="str">
        <f>IFERROR(INDEX(Tabela2[[Disciplina]:[Disciplina]],MATCH($C$3&amp;H$3&amp;$C19,Tabela2[[aux]:[aux]],0)),"-")</f>
        <v>-</v>
      </c>
      <c r="I19" s="7" t="str">
        <f>IFERROR(INDEX(Tabela2[[Disciplina]:[Disciplina]],MATCH($C$3&amp;I$3&amp;$C19,Tabela2[[aux]:[aux]],0)),"-")</f>
        <v>-</v>
      </c>
    </row>
    <row r="20" spans="1:9" ht="27.75" customHeight="1" x14ac:dyDescent="0.25">
      <c r="A20" s="1"/>
      <c r="B20" s="1"/>
      <c r="C20" s="10">
        <v>14</v>
      </c>
      <c r="D20" s="3">
        <v>0.90972222222222221</v>
      </c>
      <c r="E20" s="7" t="str">
        <f>IFERROR(INDEX(Tabela2[[Disciplina]:[Disciplina]],MATCH($C$3&amp;E$3&amp;$C20,Tabela2[[aux]:[aux]],0)),"-")</f>
        <v>-</v>
      </c>
      <c r="F20" s="7" t="str">
        <f>IFERROR(INDEX(Tabela2[[Disciplina]:[Disciplina]],MATCH($C$3&amp;F$3&amp;$C20,Tabela2[[aux]:[aux]],0)),"-")</f>
        <v>-</v>
      </c>
      <c r="G20" s="7" t="str">
        <f>IFERROR(INDEX(Tabela2[[Disciplina]:[Disciplina]],MATCH($C$3&amp;G$3&amp;$C20,Tabela2[[aux]:[aux]],0)),"-")</f>
        <v>-</v>
      </c>
      <c r="H20" s="7" t="str">
        <f>IFERROR(INDEX(Tabela2[[Disciplina]:[Disciplina]],MATCH($C$3&amp;H$3&amp;$C20,Tabela2[[aux]:[aux]],0)),"-")</f>
        <v>-</v>
      </c>
      <c r="I20" s="7" t="str">
        <f>IFERROR(INDEX(Tabela2[[Disciplina]:[Disciplina]],MATCH($C$3&amp;I$3&amp;$C20,Tabela2[[aux]:[aux]],0)),"-")</f>
        <v>-</v>
      </c>
    </row>
    <row r="21" spans="1:9" ht="27.75" customHeight="1" x14ac:dyDescent="0.25">
      <c r="A21" s="1"/>
      <c r="B21" s="1"/>
      <c r="C21" s="10">
        <v>15</v>
      </c>
      <c r="D21" s="3">
        <v>0.94444444444444442</v>
      </c>
      <c r="E21" s="7" t="str">
        <f>IFERROR(INDEX(Tabela2[[Disciplina]:[Disciplina]],MATCH($C$3&amp;E$3&amp;$C21,Tabela2[[aux]:[aux]],0)),"-")</f>
        <v>-</v>
      </c>
      <c r="F21" s="7" t="str">
        <f>IFERROR(INDEX(Tabela2[[Disciplina]:[Disciplina]],MATCH($C$3&amp;F$3&amp;$C21,Tabela2[[aux]:[aux]],0)),"-")</f>
        <v>-</v>
      </c>
      <c r="G21" s="7" t="str">
        <f>IFERROR(INDEX(Tabela2[[Disciplina]:[Disciplina]],MATCH($C$3&amp;G$3&amp;$C21,Tabela2[[aux]:[aux]],0)),"-")</f>
        <v>-</v>
      </c>
      <c r="H21" s="7" t="str">
        <f>IFERROR(INDEX(Tabela2[[Disciplina]:[Disciplina]],MATCH($C$3&amp;H$3&amp;$C21,Tabela2[[aux]:[aux]],0)),"-")</f>
        <v>-</v>
      </c>
      <c r="I21" s="7" t="str">
        <f>IFERROR(INDEX(Tabela2[[Disciplina]:[Disciplina]],MATCH($C$3&amp;I$3&amp;$C21,Tabela2[[aux]:[aux]],0)),"-")</f>
        <v>-</v>
      </c>
    </row>
    <row r="22" spans="1:9" ht="27.75" customHeight="1" x14ac:dyDescent="0.25">
      <c r="A22" s="1"/>
      <c r="B22" s="1"/>
    </row>
    <row r="23" spans="1:9" ht="27.75" customHeight="1" x14ac:dyDescent="0.25">
      <c r="A23" s="1"/>
      <c r="B23" s="1"/>
    </row>
    <row r="24" spans="1:9" ht="27.75" customHeight="1" x14ac:dyDescent="0.25">
      <c r="A24" s="1"/>
      <c r="B24" s="1"/>
    </row>
    <row r="25" spans="1:9" ht="27.75" customHeight="1" x14ac:dyDescent="0.25">
      <c r="A25" s="1"/>
      <c r="B25" s="1"/>
    </row>
    <row r="26" spans="1:9" ht="27.75" customHeight="1" x14ac:dyDescent="0.25">
      <c r="A26" s="1"/>
      <c r="B26" s="1"/>
    </row>
    <row r="27" spans="1:9" ht="27.75" customHeight="1" x14ac:dyDescent="0.25">
      <c r="A27" s="1"/>
      <c r="B27" s="1"/>
    </row>
    <row r="28" spans="1:9" ht="27.75" customHeight="1" x14ac:dyDescent="0.25">
      <c r="A28" s="1"/>
      <c r="B28" s="1"/>
    </row>
    <row r="29" spans="1:9" ht="27.75" customHeight="1" x14ac:dyDescent="0.25">
      <c r="A29" s="1"/>
      <c r="B29" s="1"/>
    </row>
    <row r="30" spans="1:9" ht="27.75" customHeight="1" x14ac:dyDescent="0.25">
      <c r="A30" s="1"/>
      <c r="B30" s="1"/>
    </row>
    <row r="31" spans="1:9" ht="27.75" customHeight="1" x14ac:dyDescent="0.25">
      <c r="A31" s="1"/>
      <c r="B31" s="1"/>
    </row>
    <row r="32" spans="1:9" ht="27.75" customHeight="1" x14ac:dyDescent="0.25">
      <c r="A32" s="1"/>
      <c r="B32" s="1"/>
    </row>
    <row r="33" spans="1:2" ht="27.75" customHeight="1" x14ac:dyDescent="0.25">
      <c r="A33" s="1"/>
      <c r="B33" s="1"/>
    </row>
    <row r="34" spans="1:2" ht="27.75" customHeight="1" x14ac:dyDescent="0.25">
      <c r="A34" s="1"/>
      <c r="B34" s="1"/>
    </row>
    <row r="35" spans="1:2" ht="27.75" customHeight="1" x14ac:dyDescent="0.25">
      <c r="A35" s="1"/>
      <c r="B35" s="1"/>
    </row>
    <row r="36" spans="1:2" ht="27.75" customHeight="1" x14ac:dyDescent="0.25">
      <c r="A36" s="1"/>
      <c r="B36" s="1"/>
    </row>
    <row r="37" spans="1:2" ht="27.75" customHeight="1" x14ac:dyDescent="0.25">
      <c r="A37" s="1"/>
      <c r="B37" s="1"/>
    </row>
    <row r="38" spans="1:2" ht="27.75" customHeight="1" x14ac:dyDescent="0.25">
      <c r="A38" s="1"/>
      <c r="B38" s="1"/>
    </row>
    <row r="39" spans="1:2" ht="27.75" customHeight="1" x14ac:dyDescent="0.25">
      <c r="A39" s="1"/>
      <c r="B39" s="1"/>
    </row>
    <row r="40" spans="1:2" ht="27.75" customHeight="1" x14ac:dyDescent="0.25">
      <c r="A40" s="1"/>
      <c r="B40" s="1"/>
    </row>
    <row r="41" spans="1:2" ht="27.75" customHeight="1" x14ac:dyDescent="0.25">
      <c r="A41" s="1"/>
      <c r="B41" s="1"/>
    </row>
    <row r="42" spans="1:2" ht="27.75" customHeight="1" x14ac:dyDescent="0.25">
      <c r="A42" s="1"/>
      <c r="B42" s="1"/>
    </row>
    <row r="43" spans="1:2" ht="27.75" customHeight="1" x14ac:dyDescent="0.25">
      <c r="A43" s="1"/>
      <c r="B43" s="1"/>
    </row>
    <row r="44" spans="1:2" ht="27.75" customHeight="1" x14ac:dyDescent="0.25">
      <c r="A44" s="1"/>
      <c r="B44" s="1"/>
    </row>
    <row r="45" spans="1:2" ht="27.75" customHeight="1" x14ac:dyDescent="0.25">
      <c r="A45" s="1"/>
      <c r="B45" s="1"/>
    </row>
    <row r="46" spans="1:2" ht="27.75" customHeight="1" x14ac:dyDescent="0.25">
      <c r="A46" s="1"/>
      <c r="B46" s="1"/>
    </row>
    <row r="47" spans="1:2" ht="27.75" customHeight="1" x14ac:dyDescent="0.25">
      <c r="A47" s="1"/>
      <c r="B47" s="1"/>
    </row>
    <row r="48" spans="1:2" ht="27.75" customHeight="1" x14ac:dyDescent="0.25">
      <c r="A48" s="1"/>
      <c r="B48" s="1"/>
    </row>
    <row r="49" spans="1:2" ht="27.75" customHeight="1" x14ac:dyDescent="0.25">
      <c r="A49" s="1"/>
      <c r="B49" s="1"/>
    </row>
    <row r="50" spans="1:2" ht="27.75" customHeight="1" x14ac:dyDescent="0.25">
      <c r="A50" s="1"/>
      <c r="B50" s="1"/>
    </row>
    <row r="51" spans="1:2" ht="27.75" customHeight="1" x14ac:dyDescent="0.25">
      <c r="A51" s="1"/>
      <c r="B51" s="1"/>
    </row>
    <row r="52" spans="1:2" ht="27.75" customHeight="1" x14ac:dyDescent="0.25">
      <c r="A52" s="1"/>
      <c r="B52" s="1"/>
    </row>
    <row r="53" spans="1:2" ht="27.75" customHeight="1" x14ac:dyDescent="0.25">
      <c r="A53" s="1"/>
      <c r="B53" s="1"/>
    </row>
    <row r="54" spans="1:2" ht="27.75" customHeight="1" x14ac:dyDescent="0.25">
      <c r="A54" s="1"/>
      <c r="B54" s="1"/>
    </row>
    <row r="55" spans="1:2" ht="27.75" customHeight="1" x14ac:dyDescent="0.25">
      <c r="A55" s="1"/>
      <c r="B55" s="1"/>
    </row>
    <row r="56" spans="1:2" ht="27.75" customHeight="1" x14ac:dyDescent="0.25">
      <c r="A56" s="1"/>
      <c r="B56" s="1"/>
    </row>
    <row r="57" spans="1:2" ht="27.75" customHeight="1" x14ac:dyDescent="0.25">
      <c r="A57" s="1"/>
      <c r="B57" s="1"/>
    </row>
    <row r="58" spans="1:2" ht="27.75" customHeight="1" x14ac:dyDescent="0.25">
      <c r="A58" s="1"/>
      <c r="B58" s="1"/>
    </row>
    <row r="59" spans="1:2" ht="27.75" customHeight="1" x14ac:dyDescent="0.25">
      <c r="A59" s="1"/>
      <c r="B59" s="1"/>
    </row>
    <row r="60" spans="1:2" ht="27.75" customHeight="1" x14ac:dyDescent="0.25">
      <c r="A60" s="1"/>
      <c r="B60" s="1"/>
    </row>
    <row r="61" spans="1:2" ht="27.75" customHeight="1" x14ac:dyDescent="0.25">
      <c r="A61" s="1"/>
      <c r="B61" s="1"/>
    </row>
    <row r="62" spans="1:2" ht="27.75" customHeight="1" x14ac:dyDescent="0.25">
      <c r="A62" s="1"/>
      <c r="B62" s="1"/>
    </row>
    <row r="63" spans="1:2" ht="27.75" customHeight="1" x14ac:dyDescent="0.25">
      <c r="A63" s="1"/>
      <c r="B63" s="1"/>
    </row>
    <row r="64" spans="1:2" ht="27.75" customHeight="1" x14ac:dyDescent="0.25">
      <c r="A64" s="1"/>
      <c r="B64" s="1"/>
    </row>
    <row r="65" spans="1:2" ht="27.75" customHeight="1" x14ac:dyDescent="0.25">
      <c r="A65" s="1"/>
      <c r="B65" s="1"/>
    </row>
    <row r="66" spans="1:2" ht="27.75" customHeight="1" x14ac:dyDescent="0.25">
      <c r="A66" s="1"/>
      <c r="B66" s="1"/>
    </row>
    <row r="67" spans="1:2" ht="27.75" customHeight="1" x14ac:dyDescent="0.25">
      <c r="A67" s="1"/>
      <c r="B67" s="1"/>
    </row>
    <row r="68" spans="1:2" ht="27.75" customHeight="1" x14ac:dyDescent="0.25">
      <c r="A68" s="1"/>
      <c r="B68" s="1"/>
    </row>
    <row r="69" spans="1:2" ht="27.75" customHeight="1" x14ac:dyDescent="0.25">
      <c r="A69" s="1"/>
      <c r="B69" s="1"/>
    </row>
    <row r="70" spans="1:2" ht="27.75" customHeight="1" x14ac:dyDescent="0.25">
      <c r="A70" s="1"/>
      <c r="B70" s="1"/>
    </row>
    <row r="71" spans="1:2" ht="27.75" customHeight="1" x14ac:dyDescent="0.25">
      <c r="A71" s="1"/>
      <c r="B71" s="1"/>
    </row>
    <row r="72" spans="1:2" ht="27.75" customHeight="1" x14ac:dyDescent="0.25">
      <c r="A72" s="1"/>
      <c r="B72" s="1"/>
    </row>
    <row r="73" spans="1:2" ht="27.75" customHeight="1" x14ac:dyDescent="0.25">
      <c r="A73" s="1"/>
      <c r="B73" s="1"/>
    </row>
    <row r="74" spans="1:2" ht="27.75" customHeight="1" x14ac:dyDescent="0.25">
      <c r="A74" s="1"/>
      <c r="B74" s="1"/>
    </row>
    <row r="75" spans="1:2" ht="27.75" customHeight="1" x14ac:dyDescent="0.25">
      <c r="A75" s="1"/>
      <c r="B75" s="1"/>
    </row>
    <row r="76" spans="1:2" ht="27.75" customHeight="1" x14ac:dyDescent="0.25">
      <c r="A76" s="1"/>
      <c r="B76" s="1"/>
    </row>
    <row r="77" spans="1:2" ht="27.75" customHeight="1" x14ac:dyDescent="0.25">
      <c r="A77" s="1"/>
      <c r="B77" s="1"/>
    </row>
    <row r="78" spans="1:2" ht="27.75" customHeight="1" x14ac:dyDescent="0.25">
      <c r="A78" s="1"/>
      <c r="B78" s="1"/>
    </row>
    <row r="79" spans="1:2" ht="27.75" customHeight="1" x14ac:dyDescent="0.25">
      <c r="A79" s="1"/>
      <c r="B79" s="1"/>
    </row>
    <row r="80" spans="1:2" ht="27.75" customHeight="1" x14ac:dyDescent="0.25">
      <c r="A80" s="1"/>
      <c r="B80" s="1"/>
    </row>
    <row r="81" spans="1:2" ht="27.75" customHeight="1" x14ac:dyDescent="0.25">
      <c r="A81" s="1"/>
      <c r="B81" s="1"/>
    </row>
    <row r="82" spans="1:2" ht="27.75" customHeight="1" x14ac:dyDescent="0.25">
      <c r="A82" s="1"/>
      <c r="B82" s="1"/>
    </row>
    <row r="83" spans="1:2" ht="27.75" customHeight="1" x14ac:dyDescent="0.25">
      <c r="A83" s="1"/>
      <c r="B83" s="1"/>
    </row>
    <row r="84" spans="1:2" ht="27.75" customHeight="1" x14ac:dyDescent="0.25">
      <c r="A84" s="1"/>
      <c r="B84" s="1"/>
    </row>
    <row r="85" spans="1:2" ht="27.75" customHeight="1" x14ac:dyDescent="0.25">
      <c r="A85" s="1"/>
      <c r="B85" s="1"/>
    </row>
    <row r="86" spans="1:2" ht="27.75" customHeight="1" x14ac:dyDescent="0.25">
      <c r="A86" s="1"/>
      <c r="B86" s="1"/>
    </row>
    <row r="87" spans="1:2" ht="27.75" customHeight="1" x14ac:dyDescent="0.25">
      <c r="A87" s="1"/>
      <c r="B87" s="1"/>
    </row>
    <row r="88" spans="1:2" ht="27.75" customHeight="1" x14ac:dyDescent="0.25">
      <c r="A88" s="1"/>
      <c r="B88" s="1"/>
    </row>
    <row r="89" spans="1:2" ht="27.75" customHeight="1" x14ac:dyDescent="0.25">
      <c r="A89" s="1"/>
      <c r="B89" s="1"/>
    </row>
    <row r="90" spans="1:2" ht="27.75" customHeight="1" x14ac:dyDescent="0.25">
      <c r="A90" s="1"/>
      <c r="B90" s="1"/>
    </row>
    <row r="91" spans="1:2" ht="27.75" customHeight="1" x14ac:dyDescent="0.25">
      <c r="A91" s="1"/>
      <c r="B91" s="1"/>
    </row>
    <row r="92" spans="1:2" ht="27.75" customHeight="1" x14ac:dyDescent="0.25">
      <c r="A92" s="1"/>
      <c r="B92" s="1"/>
    </row>
    <row r="93" spans="1:2" ht="27.75" customHeight="1" x14ac:dyDescent="0.25">
      <c r="A93" s="1"/>
      <c r="B93" s="1"/>
    </row>
    <row r="94" spans="1:2" ht="27.75" customHeight="1" x14ac:dyDescent="0.25">
      <c r="A94" s="1"/>
      <c r="B94" s="1"/>
    </row>
    <row r="95" spans="1:2" ht="27.75" customHeight="1" x14ac:dyDescent="0.25">
      <c r="A95" s="1"/>
      <c r="B95" s="1"/>
    </row>
    <row r="96" spans="1:2" ht="27.75" customHeight="1" x14ac:dyDescent="0.25">
      <c r="A96" s="1"/>
      <c r="B96" s="1"/>
    </row>
    <row r="97" spans="1:2" ht="27.75" customHeight="1" x14ac:dyDescent="0.25">
      <c r="A97" s="1"/>
      <c r="B97" s="1"/>
    </row>
    <row r="98" spans="1:2" ht="27.75" customHeight="1" x14ac:dyDescent="0.25">
      <c r="A98" s="1"/>
      <c r="B98" s="1"/>
    </row>
    <row r="99" spans="1:2" ht="27.75" customHeight="1" x14ac:dyDescent="0.25">
      <c r="A99" s="1"/>
      <c r="B99" s="1"/>
    </row>
    <row r="100" spans="1:2" ht="27.75" customHeight="1" x14ac:dyDescent="0.25">
      <c r="A100" s="1"/>
      <c r="B100" s="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E58A79-86CE-438F-BC2D-31ED6E2BBFCA}">
  <sheetPr codeName="Planilha19"/>
  <dimension ref="A1:Z100"/>
  <sheetViews>
    <sheetView showGridLines="0" showRowColHeaders="0" workbookViewId="0">
      <selection activeCell="D11" sqref="D11:D15"/>
    </sheetView>
  </sheetViews>
  <sheetFormatPr defaultColWidth="14.85546875" defaultRowHeight="27.75" customHeight="1" x14ac:dyDescent="0.25"/>
  <cols>
    <col min="1" max="2" width="14.85546875" style="2"/>
    <col min="3" max="10" width="21.28515625" style="2" customWidth="1"/>
    <col min="11" max="16384" width="14.85546875" style="2"/>
  </cols>
  <sheetData>
    <row r="1" spans="1:26" ht="32.2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27.75" customHeight="1" x14ac:dyDescent="0.25">
      <c r="A2" s="1"/>
      <c r="B2" s="1"/>
    </row>
    <row r="3" spans="1:26" ht="27.75" customHeight="1" x14ac:dyDescent="0.25">
      <c r="A3" s="1"/>
      <c r="B3" s="1"/>
      <c r="C3" s="10" t="s">
        <v>14</v>
      </c>
      <c r="E3" s="10">
        <v>1</v>
      </c>
      <c r="F3" s="10">
        <v>2</v>
      </c>
      <c r="G3" s="10">
        <v>3</v>
      </c>
      <c r="H3" s="10">
        <v>4</v>
      </c>
      <c r="I3" s="10">
        <v>5</v>
      </c>
    </row>
    <row r="4" spans="1:26" ht="27.75" customHeight="1" x14ac:dyDescent="0.25">
      <c r="A4" s="1"/>
      <c r="B4" s="1"/>
      <c r="D4" s="8"/>
      <c r="E4" s="9" t="s">
        <v>0</v>
      </c>
      <c r="F4" s="9" t="s">
        <v>1</v>
      </c>
      <c r="G4" s="9" t="s">
        <v>2</v>
      </c>
      <c r="H4" s="9" t="s">
        <v>3</v>
      </c>
      <c r="I4" s="9" t="s">
        <v>4</v>
      </c>
    </row>
    <row r="5" spans="1:26" ht="27.75" customHeight="1" x14ac:dyDescent="0.25">
      <c r="A5" s="1"/>
      <c r="B5" s="1"/>
      <c r="C5" s="10">
        <v>1</v>
      </c>
      <c r="D5" s="3">
        <v>0.29166666666666669</v>
      </c>
      <c r="E5" s="7" t="str">
        <f>IFERROR(INDEX(Tabela2[[Disciplina]:[Disciplina]],MATCH($C$3&amp;E$3&amp;$C5,Tabela2[[aux]:[aux]],0)),"-")</f>
        <v>-</v>
      </c>
      <c r="F5" s="7" t="str">
        <f>IFERROR(INDEX(Tabela2[[Disciplina]:[Disciplina]],MATCH($C$3&amp;F$3&amp;$C5,Tabela2[[aux]:[aux]],0)),"-")</f>
        <v>-</v>
      </c>
      <c r="G5" s="7" t="str">
        <f>IFERROR(INDEX(Tabela2[[Disciplina]:[Disciplina]],MATCH($C$3&amp;G$3&amp;$C5,Tabela2[[aux]:[aux]],0)),"-")</f>
        <v>XPAD04</v>
      </c>
      <c r="H5" s="7" t="str">
        <f>IFERROR(INDEX(Tabela2[[Disciplina]:[Disciplina]],MATCH($C$3&amp;H$3&amp;$C5,Tabela2[[aux]:[aux]],0)),"-")</f>
        <v>-</v>
      </c>
      <c r="I5" s="7" t="str">
        <f>IFERROR(INDEX(Tabela2[[Disciplina]:[Disciplina]],MATCH($C$3&amp;I$3&amp;$C5,Tabela2[[aux]:[aux]],0)),"-")</f>
        <v>-</v>
      </c>
    </row>
    <row r="6" spans="1:26" ht="27.75" customHeight="1" x14ac:dyDescent="0.25">
      <c r="A6" s="1"/>
      <c r="B6" s="1"/>
      <c r="C6" s="10">
        <v>2</v>
      </c>
      <c r="D6" s="3">
        <v>0.3298611111111111</v>
      </c>
      <c r="E6" s="7" t="str">
        <f>IFERROR(INDEX(Tabela2[[Disciplina]:[Disciplina]],MATCH($C$3&amp;E$3&amp;$C6,Tabela2[[aux]:[aux]],0)),"-")</f>
        <v>-</v>
      </c>
      <c r="F6" s="7" t="str">
        <f>IFERROR(INDEX(Tabela2[[Disciplina]:[Disciplina]],MATCH($C$3&amp;F$3&amp;$C6,Tabela2[[aux]:[aux]],0)),"-")</f>
        <v>-</v>
      </c>
      <c r="G6" s="7" t="str">
        <f>IFERROR(INDEX(Tabela2[[Disciplina]:[Disciplina]],MATCH($C$3&amp;G$3&amp;$C6,Tabela2[[aux]:[aux]],0)),"-")</f>
        <v>XPAD04</v>
      </c>
      <c r="H6" s="7" t="str">
        <f>IFERROR(INDEX(Tabela2[[Disciplina]:[Disciplina]],MATCH($C$3&amp;H$3&amp;$C6,Tabela2[[aux]:[aux]],0)),"-")</f>
        <v>-</v>
      </c>
      <c r="I6" s="7" t="str">
        <f>IFERROR(INDEX(Tabela2[[Disciplina]:[Disciplina]],MATCH($C$3&amp;I$3&amp;$C6,Tabela2[[aux]:[aux]],0)),"-")</f>
        <v>ECOX21</v>
      </c>
    </row>
    <row r="7" spans="1:26" ht="27.75" customHeight="1" x14ac:dyDescent="0.25">
      <c r="A7" s="1"/>
      <c r="B7" s="1"/>
      <c r="C7" s="10">
        <v>3</v>
      </c>
      <c r="D7" s="3">
        <v>0.36805555555555558</v>
      </c>
      <c r="E7" s="7" t="str">
        <f>IFERROR(INDEX(Tabela2[[Disciplina]:[Disciplina]],MATCH($C$3&amp;E$3&amp;$C7,Tabela2[[aux]:[aux]],0)),"-")</f>
        <v>CMCO06</v>
      </c>
      <c r="F7" s="7" t="str">
        <f>IFERROR(INDEX(Tabela2[[Disciplina]:[Disciplina]],MATCH($C$3&amp;F$3&amp;$C7,Tabela2[[aux]:[aux]],0)),"-")</f>
        <v>XPAD04</v>
      </c>
      <c r="G7" s="7" t="str">
        <f>IFERROR(INDEX(Tabela2[[Disciplina]:[Disciplina]],MATCH($C$3&amp;G$3&amp;$C7,Tabela2[[aux]:[aux]],0)),"-")</f>
        <v>XMCO02</v>
      </c>
      <c r="H7" s="7" t="str">
        <f>IFERROR(INDEX(Tabela2[[Disciplina]:[Disciplina]],MATCH($C$3&amp;H$3&amp;$C7,Tabela2[[aux]:[aux]],0)),"-")</f>
        <v>-</v>
      </c>
      <c r="I7" s="7" t="str">
        <f>IFERROR(INDEX(Tabela2[[Disciplina]:[Disciplina]],MATCH($C$3&amp;I$3&amp;$C7,Tabela2[[aux]:[aux]],0)),"-")</f>
        <v>-</v>
      </c>
    </row>
    <row r="8" spans="1:26" ht="27.75" customHeight="1" x14ac:dyDescent="0.25">
      <c r="A8" s="1"/>
      <c r="B8" s="1"/>
      <c r="C8" s="10">
        <v>4</v>
      </c>
      <c r="D8" s="3">
        <v>0.4236111111111111</v>
      </c>
      <c r="E8" s="7" t="str">
        <f>IFERROR(INDEX(Tabela2[[Disciplina]:[Disciplina]],MATCH($C$3&amp;E$3&amp;$C8,Tabela2[[aux]:[aux]],0)),"-")</f>
        <v>CMCO06</v>
      </c>
      <c r="F8" s="7" t="str">
        <f>IFERROR(INDEX(Tabela2[[Disciplina]:[Disciplina]],MATCH($C$3&amp;F$3&amp;$C8,Tabela2[[aux]:[aux]],0)),"-")</f>
        <v>XPAD04</v>
      </c>
      <c r="G8" s="7" t="str">
        <f>IFERROR(INDEX(Tabela2[[Disciplina]:[Disciplina]],MATCH($C$3&amp;G$3&amp;$C8,Tabela2[[aux]:[aux]],0)),"-")</f>
        <v>XMCO02</v>
      </c>
      <c r="H8" s="7" t="str">
        <f>IFERROR(INDEX(Tabela2[[Disciplina]:[Disciplina]],MATCH($C$3&amp;H$3&amp;$C8,Tabela2[[aux]:[aux]],0)),"-")</f>
        <v>ECOX21</v>
      </c>
      <c r="I8" s="7" t="str">
        <f>IFERROR(INDEX(Tabela2[[Disciplina]:[Disciplina]],MATCH($C$3&amp;I$3&amp;$C8,Tabela2[[aux]:[aux]],0)),"-")</f>
        <v>-</v>
      </c>
    </row>
    <row r="9" spans="1:26" ht="27.75" customHeight="1" x14ac:dyDescent="0.25">
      <c r="A9" s="1"/>
      <c r="B9" s="1"/>
      <c r="C9" s="10">
        <v>5</v>
      </c>
      <c r="D9" s="4">
        <v>0.46180555555555558</v>
      </c>
      <c r="E9" s="7" t="str">
        <f>IFERROR(INDEX(Tabela2[[Disciplina]:[Disciplina]],MATCH($C$3&amp;E$3&amp;$C9,Tabela2[[aux]:[aux]],0)),"-")</f>
        <v>-</v>
      </c>
      <c r="F9" s="7" t="str">
        <f>IFERROR(INDEX(Tabela2[[Disciplina]:[Disciplina]],MATCH($C$3&amp;F$3&amp;$C9,Tabela2[[aux]:[aux]],0)),"-")</f>
        <v>-</v>
      </c>
      <c r="G9" s="7" t="str">
        <f>IFERROR(INDEX(Tabela2[[Disciplina]:[Disciplina]],MATCH($C$3&amp;G$3&amp;$C9,Tabela2[[aux]:[aux]],0)),"-")</f>
        <v>CDES13</v>
      </c>
      <c r="H9" s="7" t="str">
        <f>IFERROR(INDEX(Tabela2[[Disciplina]:[Disciplina]],MATCH($C$3&amp;H$3&amp;$C9,Tabela2[[aux]:[aux]],0)),"-")</f>
        <v>ECOX21</v>
      </c>
      <c r="I9" s="7" t="str">
        <f>IFERROR(INDEX(Tabela2[[Disciplina]:[Disciplina]],MATCH($C$3&amp;I$3&amp;$C9,Tabela2[[aux]:[aux]],0)),"-")</f>
        <v>-</v>
      </c>
    </row>
    <row r="10" spans="1:26" ht="9" customHeight="1" x14ac:dyDescent="0.25">
      <c r="A10" s="1"/>
      <c r="B10" s="1"/>
      <c r="C10" s="10"/>
      <c r="D10" s="5"/>
      <c r="E10" s="7" t="str">
        <f>IFERROR(INDEX(Tabela2[[Disciplina]:[Disciplina]],MATCH($C$3&amp;E$3&amp;$C10,Tabela2[[aux]:[aux]],0)),"-")</f>
        <v>-</v>
      </c>
      <c r="F10" s="7" t="str">
        <f>IFERROR(INDEX(Tabela2[[Disciplina]:[Disciplina]],MATCH($C$3&amp;F$3&amp;$C10,Tabela2[[aux]:[aux]],0)),"-")</f>
        <v>-</v>
      </c>
      <c r="G10" s="7" t="str">
        <f>IFERROR(INDEX(Tabela2[[Disciplina]:[Disciplina]],MATCH($C$3&amp;G$3&amp;$C10,Tabela2[[aux]:[aux]],0)),"-")</f>
        <v>-</v>
      </c>
      <c r="H10" s="7" t="str">
        <f>IFERROR(INDEX(Tabela2[[Disciplina]:[Disciplina]],MATCH($C$3&amp;H$3&amp;$C10,Tabela2[[aux]:[aux]],0)),"-")</f>
        <v>-</v>
      </c>
      <c r="I10" s="7" t="str">
        <f>IFERROR(INDEX(Tabela2[[Disciplina]:[Disciplina]],MATCH($C$3&amp;I$3&amp;$C10,Tabela2[[aux]:[aux]],0)),"-")</f>
        <v>-</v>
      </c>
    </row>
    <row r="11" spans="1:26" ht="27.75" customHeight="1" x14ac:dyDescent="0.25">
      <c r="A11" s="1"/>
      <c r="B11" s="1"/>
      <c r="C11" s="10">
        <v>6</v>
      </c>
      <c r="D11" s="6">
        <v>0.5625</v>
      </c>
      <c r="E11" s="7" t="str">
        <f>IFERROR(INDEX(Tabela2[[Disciplina]:[Disciplina]],MATCH($C$3&amp;E$3&amp;$C11,Tabela2[[aux]:[aux]],0)),"-")</f>
        <v>-</v>
      </c>
      <c r="F11" s="7" t="str">
        <f>IFERROR(INDEX(Tabela2[[Disciplina]:[Disciplina]],MATCH($C$3&amp;F$3&amp;$C11,Tabela2[[aux]:[aux]],0)),"-")</f>
        <v>-</v>
      </c>
      <c r="G11" s="7" t="str">
        <f>IFERROR(INDEX(Tabela2[[Disciplina]:[Disciplina]],MATCH($C$3&amp;G$3&amp;$C11,Tabela2[[aux]:[aux]],0)),"-")</f>
        <v>CDES13</v>
      </c>
      <c r="H11" s="7" t="str">
        <f>IFERROR(INDEX(Tabela2[[Disciplina]:[Disciplina]],MATCH($C$3&amp;H$3&amp;$C11,Tabela2[[aux]:[aux]],0)),"-")</f>
        <v>XDES11</v>
      </c>
      <c r="I11" s="7" t="str">
        <f>IFERROR(INDEX(Tabela2[[Disciplina]:[Disciplina]],MATCH($C$3&amp;I$3&amp;$C11,Tabela2[[aux]:[aux]],0)),"-")</f>
        <v>-</v>
      </c>
    </row>
    <row r="12" spans="1:26" ht="27.75" customHeight="1" x14ac:dyDescent="0.25">
      <c r="A12" s="1"/>
      <c r="B12" s="1"/>
      <c r="C12" s="10">
        <v>7</v>
      </c>
      <c r="D12" s="3">
        <v>0.60069444444444442</v>
      </c>
      <c r="E12" s="7" t="str">
        <f>IFERROR(INDEX(Tabela2[[Disciplina]:[Disciplina]],MATCH($C$3&amp;E$3&amp;$C12,Tabela2[[aux]:[aux]],0)),"-")</f>
        <v>XDES11</v>
      </c>
      <c r="F12" s="7" t="str">
        <f>IFERROR(INDEX(Tabela2[[Disciplina]:[Disciplina]],MATCH($C$3&amp;F$3&amp;$C12,Tabela2[[aux]:[aux]],0)),"-")</f>
        <v>XRSC09</v>
      </c>
      <c r="G12" s="7" t="str">
        <f>IFERROR(INDEX(Tabela2[[Disciplina]:[Disciplina]],MATCH($C$3&amp;G$3&amp;$C12,Tabela2[[aux]:[aux]],0)),"-")</f>
        <v>-</v>
      </c>
      <c r="H12" s="7" t="str">
        <f>IFERROR(INDEX(Tabela2[[Disciplina]:[Disciplina]],MATCH($C$3&amp;H$3&amp;$C12,Tabela2[[aux]:[aux]],0)),"-")</f>
        <v>XDES11</v>
      </c>
      <c r="I12" s="7" t="str">
        <f>IFERROR(INDEX(Tabela2[[Disciplina]:[Disciplina]],MATCH($C$3&amp;I$3&amp;$C12,Tabela2[[aux]:[aux]],0)),"-")</f>
        <v>XRSC09</v>
      </c>
    </row>
    <row r="13" spans="1:26" ht="27.75" customHeight="1" x14ac:dyDescent="0.25">
      <c r="A13" s="1"/>
      <c r="B13" s="1"/>
      <c r="C13" s="10">
        <v>8</v>
      </c>
      <c r="D13" s="3">
        <v>0.65625</v>
      </c>
      <c r="E13" s="7" t="str">
        <f>IFERROR(INDEX(Tabela2[[Disciplina]:[Disciplina]],MATCH($C$3&amp;E$3&amp;$C13,Tabela2[[aux]:[aux]],0)),"-")</f>
        <v>XDES11</v>
      </c>
      <c r="F13" s="7" t="str">
        <f>IFERROR(INDEX(Tabela2[[Disciplina]:[Disciplina]],MATCH($C$3&amp;F$3&amp;$C13,Tabela2[[aux]:[aux]],0)),"-")</f>
        <v>XRSC09</v>
      </c>
      <c r="G13" s="7" t="str">
        <f>IFERROR(INDEX(Tabela2[[Disciplina]:[Disciplina]],MATCH($C$3&amp;G$3&amp;$C13,Tabela2[[aux]:[aux]],0)),"-")</f>
        <v>-</v>
      </c>
      <c r="H13" s="7" t="str">
        <f>IFERROR(INDEX(Tabela2[[Disciplina]:[Disciplina]],MATCH($C$3&amp;H$3&amp;$C13,Tabela2[[aux]:[aux]],0)),"-")</f>
        <v>-</v>
      </c>
      <c r="I13" s="7" t="str">
        <f>IFERROR(INDEX(Tabela2[[Disciplina]:[Disciplina]],MATCH($C$3&amp;I$3&amp;$C13,Tabela2[[aux]:[aux]],0)),"-")</f>
        <v>XRSC09</v>
      </c>
    </row>
    <row r="14" spans="1:26" ht="27.75" customHeight="1" x14ac:dyDescent="0.25">
      <c r="A14" s="1"/>
      <c r="B14" s="1"/>
      <c r="C14" s="10">
        <v>9</v>
      </c>
      <c r="D14" s="3">
        <v>0.69444444444444442</v>
      </c>
      <c r="E14" s="7" t="str">
        <f>IFERROR(INDEX(Tabela2[[Disciplina]:[Disciplina]],MATCH($C$3&amp;E$3&amp;$C14,Tabela2[[aux]:[aux]],0)),"-")</f>
        <v>-</v>
      </c>
      <c r="F14" s="7" t="str">
        <f>IFERROR(INDEX(Tabela2[[Disciplina]:[Disciplina]],MATCH($C$3&amp;F$3&amp;$C14,Tabela2[[aux]:[aux]],0)),"-")</f>
        <v>-</v>
      </c>
      <c r="G14" s="7" t="str">
        <f>IFERROR(INDEX(Tabela2[[Disciplina]:[Disciplina]],MATCH($C$3&amp;G$3&amp;$C14,Tabela2[[aux]:[aux]],0)),"-")</f>
        <v>-</v>
      </c>
      <c r="H14" s="7" t="str">
        <f>IFERROR(INDEX(Tabela2[[Disciplina]:[Disciplina]],MATCH($C$3&amp;H$3&amp;$C14,Tabela2[[aux]:[aux]],0)),"-")</f>
        <v>-</v>
      </c>
      <c r="I14" s="7" t="str">
        <f>IFERROR(INDEX(Tabela2[[Disciplina]:[Disciplina]],MATCH($C$3&amp;I$3&amp;$C14,Tabela2[[aux]:[aux]],0)),"-")</f>
        <v>XMCO02</v>
      </c>
    </row>
    <row r="15" spans="1:26" ht="27.75" customHeight="1" x14ac:dyDescent="0.25">
      <c r="A15" s="1"/>
      <c r="B15" s="1"/>
      <c r="C15" s="10">
        <v>10</v>
      </c>
      <c r="D15" s="3">
        <v>0.73263888888888884</v>
      </c>
      <c r="E15" s="7" t="str">
        <f>IFERROR(INDEX(Tabela2[[Disciplina]:[Disciplina]],MATCH($C$3&amp;E$3&amp;$C15,Tabela2[[aux]:[aux]],0)),"-")</f>
        <v>-</v>
      </c>
      <c r="F15" s="7" t="str">
        <f>IFERROR(INDEX(Tabela2[[Disciplina]:[Disciplina]],MATCH($C$3&amp;F$3&amp;$C15,Tabela2[[aux]:[aux]],0)),"-")</f>
        <v>CMCO06</v>
      </c>
      <c r="G15" s="7" t="str">
        <f>IFERROR(INDEX(Tabela2[[Disciplina]:[Disciplina]],MATCH($C$3&amp;G$3&amp;$C15,Tabela2[[aux]:[aux]],0)),"-")</f>
        <v>-</v>
      </c>
      <c r="H15" s="7" t="str">
        <f>IFERROR(INDEX(Tabela2[[Disciplina]:[Disciplina]],MATCH($C$3&amp;H$3&amp;$C15,Tabela2[[aux]:[aux]],0)),"-")</f>
        <v>-</v>
      </c>
      <c r="I15" s="7" t="str">
        <f>IFERROR(INDEX(Tabela2[[Disciplina]:[Disciplina]],MATCH($C$3&amp;I$3&amp;$C15,Tabela2[[aux]:[aux]],0)),"-")</f>
        <v>XMCO02</v>
      </c>
    </row>
    <row r="16" spans="1:26" ht="8.25" customHeight="1" x14ac:dyDescent="0.25">
      <c r="A16" s="1"/>
      <c r="B16" s="1"/>
      <c r="D16" s="11"/>
      <c r="E16" s="7" t="str">
        <f>IFERROR(INDEX(Tabela2[[Disciplina]:[Disciplina]],MATCH($C$3&amp;E$3&amp;$C16,Tabela2[[aux]:[aux]],0)),"-")</f>
        <v>-</v>
      </c>
      <c r="F16" s="7" t="str">
        <f>IFERROR(INDEX(Tabela2[[Disciplina]:[Disciplina]],MATCH($C$3&amp;F$3&amp;$C16,Tabela2[[aux]:[aux]],0)),"-")</f>
        <v>-</v>
      </c>
      <c r="G16" s="7" t="str">
        <f>IFERROR(INDEX(Tabela2[[Disciplina]:[Disciplina]],MATCH($C$3&amp;G$3&amp;$C16,Tabela2[[aux]:[aux]],0)),"-")</f>
        <v>-</v>
      </c>
      <c r="H16" s="7" t="str">
        <f>IFERROR(INDEX(Tabela2[[Disciplina]:[Disciplina]],MATCH($C$3&amp;H$3&amp;$C16,Tabela2[[aux]:[aux]],0)),"-")</f>
        <v>-</v>
      </c>
      <c r="I16" s="7" t="str">
        <f>IFERROR(INDEX(Tabela2[[Disciplina]:[Disciplina]],MATCH($C$3&amp;I$3&amp;$C16,Tabela2[[aux]:[aux]],0)),"-")</f>
        <v>-</v>
      </c>
    </row>
    <row r="17" spans="1:9" ht="27.75" customHeight="1" x14ac:dyDescent="0.25">
      <c r="A17" s="1"/>
      <c r="B17" s="1"/>
      <c r="C17" s="10">
        <v>11</v>
      </c>
      <c r="D17" s="3">
        <v>0.79166666666666663</v>
      </c>
      <c r="E17" s="7" t="str">
        <f>IFERROR(INDEX(Tabela2[[Disciplina]:[Disciplina]],MATCH($C$3&amp;E$3&amp;$C17,Tabela2[[aux]:[aux]],0)),"-")</f>
        <v>-</v>
      </c>
      <c r="F17" s="7" t="str">
        <f>IFERROR(INDEX(Tabela2[[Disciplina]:[Disciplina]],MATCH($C$3&amp;F$3&amp;$C17,Tabela2[[aux]:[aux]],0)),"-")</f>
        <v>CMCO06</v>
      </c>
      <c r="G17" s="7" t="str">
        <f>IFERROR(INDEX(Tabela2[[Disciplina]:[Disciplina]],MATCH($C$3&amp;G$3&amp;$C17,Tabela2[[aux]:[aux]],0)),"-")</f>
        <v>-</v>
      </c>
      <c r="H17" s="7" t="str">
        <f>IFERROR(INDEX(Tabela2[[Disciplina]:[Disciplina]],MATCH($C$3&amp;H$3&amp;$C17,Tabela2[[aux]:[aux]],0)),"-")</f>
        <v>-</v>
      </c>
      <c r="I17" s="7" t="str">
        <f>IFERROR(INDEX(Tabela2[[Disciplina]:[Disciplina]],MATCH($C$3&amp;I$3&amp;$C17,Tabela2[[aux]:[aux]],0)),"-")</f>
        <v>CDES13</v>
      </c>
    </row>
    <row r="18" spans="1:9" ht="27.75" customHeight="1" x14ac:dyDescent="0.25">
      <c r="A18" s="1"/>
      <c r="B18" s="1"/>
      <c r="C18" s="10">
        <v>12</v>
      </c>
      <c r="D18" s="3">
        <v>0.82638888888888884</v>
      </c>
      <c r="E18" s="7" t="str">
        <f>IFERROR(INDEX(Tabela2[[Disciplina]:[Disciplina]],MATCH($C$3&amp;E$3&amp;$C18,Tabela2[[aux]:[aux]],0)),"-")</f>
        <v>-</v>
      </c>
      <c r="F18" s="7" t="str">
        <f>IFERROR(INDEX(Tabela2[[Disciplina]:[Disciplina]],MATCH($C$3&amp;F$3&amp;$C18,Tabela2[[aux]:[aux]],0)),"-")</f>
        <v>-</v>
      </c>
      <c r="G18" s="7" t="str">
        <f>IFERROR(INDEX(Tabela2[[Disciplina]:[Disciplina]],MATCH($C$3&amp;G$3&amp;$C18,Tabela2[[aux]:[aux]],0)),"-")</f>
        <v>-</v>
      </c>
      <c r="H18" s="7" t="str">
        <f>IFERROR(INDEX(Tabela2[[Disciplina]:[Disciplina]],MATCH($C$3&amp;H$3&amp;$C18,Tabela2[[aux]:[aux]],0)),"-")</f>
        <v>-</v>
      </c>
      <c r="I18" s="7" t="str">
        <f>IFERROR(INDEX(Tabela2[[Disciplina]:[Disciplina]],MATCH($C$3&amp;I$3&amp;$C18,Tabela2[[aux]:[aux]],0)),"-")</f>
        <v>CDES13</v>
      </c>
    </row>
    <row r="19" spans="1:9" ht="27.75" customHeight="1" x14ac:dyDescent="0.25">
      <c r="A19" s="1"/>
      <c r="B19" s="1"/>
      <c r="C19" s="10">
        <v>13</v>
      </c>
      <c r="D19" s="3">
        <v>0.875</v>
      </c>
      <c r="E19" s="7" t="str">
        <f>IFERROR(INDEX(Tabela2[[Disciplina]:[Disciplina]],MATCH($C$3&amp;E$3&amp;$C19,Tabela2[[aux]:[aux]],0)),"-")</f>
        <v>-</v>
      </c>
      <c r="F19" s="7" t="str">
        <f>IFERROR(INDEX(Tabela2[[Disciplina]:[Disciplina]],MATCH($C$3&amp;F$3&amp;$C19,Tabela2[[aux]:[aux]],0)),"-")</f>
        <v>-</v>
      </c>
      <c r="G19" s="7" t="str">
        <f>IFERROR(INDEX(Tabela2[[Disciplina]:[Disciplina]],MATCH($C$3&amp;G$3&amp;$C19,Tabela2[[aux]:[aux]],0)),"-")</f>
        <v>-</v>
      </c>
      <c r="H19" s="7" t="str">
        <f>IFERROR(INDEX(Tabela2[[Disciplina]:[Disciplina]],MATCH($C$3&amp;H$3&amp;$C19,Tabela2[[aux]:[aux]],0)),"-")</f>
        <v>-</v>
      </c>
      <c r="I19" s="7" t="str">
        <f>IFERROR(INDEX(Tabela2[[Disciplina]:[Disciplina]],MATCH($C$3&amp;I$3&amp;$C19,Tabela2[[aux]:[aux]],0)),"-")</f>
        <v>-</v>
      </c>
    </row>
    <row r="20" spans="1:9" ht="27.75" customHeight="1" x14ac:dyDescent="0.25">
      <c r="A20" s="1"/>
      <c r="B20" s="1"/>
      <c r="C20" s="10">
        <v>14</v>
      </c>
      <c r="D20" s="3">
        <v>0.90972222222222221</v>
      </c>
      <c r="E20" s="7" t="str">
        <f>IFERROR(INDEX(Tabela2[[Disciplina]:[Disciplina]],MATCH($C$3&amp;E$3&amp;$C20,Tabela2[[aux]:[aux]],0)),"-")</f>
        <v>-</v>
      </c>
      <c r="F20" s="7" t="str">
        <f>IFERROR(INDEX(Tabela2[[Disciplina]:[Disciplina]],MATCH($C$3&amp;F$3&amp;$C20,Tabela2[[aux]:[aux]],0)),"-")</f>
        <v>-</v>
      </c>
      <c r="G20" s="7" t="str">
        <f>IFERROR(INDEX(Tabela2[[Disciplina]:[Disciplina]],MATCH($C$3&amp;G$3&amp;$C20,Tabela2[[aux]:[aux]],0)),"-")</f>
        <v>-</v>
      </c>
      <c r="H20" s="7" t="str">
        <f>IFERROR(INDEX(Tabela2[[Disciplina]:[Disciplina]],MATCH($C$3&amp;H$3&amp;$C20,Tabela2[[aux]:[aux]],0)),"-")</f>
        <v>-</v>
      </c>
      <c r="I20" s="7" t="str">
        <f>IFERROR(INDEX(Tabela2[[Disciplina]:[Disciplina]],MATCH($C$3&amp;I$3&amp;$C20,Tabela2[[aux]:[aux]],0)),"-")</f>
        <v>-</v>
      </c>
    </row>
    <row r="21" spans="1:9" ht="27.75" customHeight="1" x14ac:dyDescent="0.25">
      <c r="A21" s="1"/>
      <c r="B21" s="1"/>
      <c r="C21" s="10">
        <v>15</v>
      </c>
      <c r="D21" s="3">
        <v>0.94444444444444442</v>
      </c>
      <c r="E21" s="7" t="str">
        <f>IFERROR(INDEX(Tabela2[[Disciplina]:[Disciplina]],MATCH($C$3&amp;E$3&amp;$C21,Tabela2[[aux]:[aux]],0)),"-")</f>
        <v>-</v>
      </c>
      <c r="F21" s="7" t="str">
        <f>IFERROR(INDEX(Tabela2[[Disciplina]:[Disciplina]],MATCH($C$3&amp;F$3&amp;$C21,Tabela2[[aux]:[aux]],0)),"-")</f>
        <v>-</v>
      </c>
      <c r="G21" s="7" t="str">
        <f>IFERROR(INDEX(Tabela2[[Disciplina]:[Disciplina]],MATCH($C$3&amp;G$3&amp;$C21,Tabela2[[aux]:[aux]],0)),"-")</f>
        <v>-</v>
      </c>
      <c r="H21" s="7" t="str">
        <f>IFERROR(INDEX(Tabela2[[Disciplina]:[Disciplina]],MATCH($C$3&amp;H$3&amp;$C21,Tabela2[[aux]:[aux]],0)),"-")</f>
        <v>-</v>
      </c>
      <c r="I21" s="7" t="str">
        <f>IFERROR(INDEX(Tabela2[[Disciplina]:[Disciplina]],MATCH($C$3&amp;I$3&amp;$C21,Tabela2[[aux]:[aux]],0)),"-")</f>
        <v>-</v>
      </c>
    </row>
    <row r="22" spans="1:9" ht="27.75" customHeight="1" x14ac:dyDescent="0.25">
      <c r="A22" s="1"/>
      <c r="B22" s="1"/>
    </row>
    <row r="23" spans="1:9" ht="27.75" customHeight="1" x14ac:dyDescent="0.25">
      <c r="A23" s="1"/>
      <c r="B23" s="1"/>
    </row>
    <row r="24" spans="1:9" ht="27.75" customHeight="1" x14ac:dyDescent="0.25">
      <c r="A24" s="1"/>
      <c r="B24" s="1"/>
    </row>
    <row r="25" spans="1:9" ht="27.75" customHeight="1" x14ac:dyDescent="0.25">
      <c r="A25" s="1"/>
      <c r="B25" s="1"/>
    </row>
    <row r="26" spans="1:9" ht="27.75" customHeight="1" x14ac:dyDescent="0.25">
      <c r="A26" s="1"/>
      <c r="B26" s="1"/>
    </row>
    <row r="27" spans="1:9" ht="27.75" customHeight="1" x14ac:dyDescent="0.25">
      <c r="A27" s="1"/>
      <c r="B27" s="1"/>
    </row>
    <row r="28" spans="1:9" ht="27.75" customHeight="1" x14ac:dyDescent="0.25">
      <c r="A28" s="1"/>
      <c r="B28" s="1"/>
    </row>
    <row r="29" spans="1:9" ht="27.75" customHeight="1" x14ac:dyDescent="0.25">
      <c r="A29" s="1"/>
      <c r="B29" s="1"/>
    </row>
    <row r="30" spans="1:9" ht="27.75" customHeight="1" x14ac:dyDescent="0.25">
      <c r="A30" s="1"/>
      <c r="B30" s="1"/>
    </row>
    <row r="31" spans="1:9" ht="27.75" customHeight="1" x14ac:dyDescent="0.25">
      <c r="A31" s="1"/>
      <c r="B31" s="1"/>
    </row>
    <row r="32" spans="1:9" ht="27.75" customHeight="1" x14ac:dyDescent="0.25">
      <c r="A32" s="1"/>
      <c r="B32" s="1"/>
    </row>
    <row r="33" spans="1:2" ht="27.75" customHeight="1" x14ac:dyDescent="0.25">
      <c r="A33" s="1"/>
      <c r="B33" s="1"/>
    </row>
    <row r="34" spans="1:2" ht="27.75" customHeight="1" x14ac:dyDescent="0.25">
      <c r="A34" s="1"/>
      <c r="B34" s="1"/>
    </row>
    <row r="35" spans="1:2" ht="27.75" customHeight="1" x14ac:dyDescent="0.25">
      <c r="A35" s="1"/>
      <c r="B35" s="1"/>
    </row>
    <row r="36" spans="1:2" ht="27.75" customHeight="1" x14ac:dyDescent="0.25">
      <c r="A36" s="1"/>
      <c r="B36" s="1"/>
    </row>
    <row r="37" spans="1:2" ht="27.75" customHeight="1" x14ac:dyDescent="0.25">
      <c r="A37" s="1"/>
      <c r="B37" s="1"/>
    </row>
    <row r="38" spans="1:2" ht="27.75" customHeight="1" x14ac:dyDescent="0.25">
      <c r="A38" s="1"/>
      <c r="B38" s="1"/>
    </row>
    <row r="39" spans="1:2" ht="27.75" customHeight="1" x14ac:dyDescent="0.25">
      <c r="A39" s="1"/>
      <c r="B39" s="1"/>
    </row>
    <row r="40" spans="1:2" ht="27.75" customHeight="1" x14ac:dyDescent="0.25">
      <c r="A40" s="1"/>
      <c r="B40" s="1"/>
    </row>
    <row r="41" spans="1:2" ht="27.75" customHeight="1" x14ac:dyDescent="0.25">
      <c r="A41" s="1"/>
      <c r="B41" s="1"/>
    </row>
    <row r="42" spans="1:2" ht="27.75" customHeight="1" x14ac:dyDescent="0.25">
      <c r="A42" s="1"/>
      <c r="B42" s="1"/>
    </row>
    <row r="43" spans="1:2" ht="27.75" customHeight="1" x14ac:dyDescent="0.25">
      <c r="A43" s="1"/>
      <c r="B43" s="1"/>
    </row>
    <row r="44" spans="1:2" ht="27.75" customHeight="1" x14ac:dyDescent="0.25">
      <c r="A44" s="1"/>
      <c r="B44" s="1"/>
    </row>
    <row r="45" spans="1:2" ht="27.75" customHeight="1" x14ac:dyDescent="0.25">
      <c r="A45" s="1"/>
      <c r="B45" s="1"/>
    </row>
    <row r="46" spans="1:2" ht="27.75" customHeight="1" x14ac:dyDescent="0.25">
      <c r="A46" s="1"/>
      <c r="B46" s="1"/>
    </row>
    <row r="47" spans="1:2" ht="27.75" customHeight="1" x14ac:dyDescent="0.25">
      <c r="A47" s="1"/>
      <c r="B47" s="1"/>
    </row>
    <row r="48" spans="1:2" ht="27.75" customHeight="1" x14ac:dyDescent="0.25">
      <c r="A48" s="1"/>
      <c r="B48" s="1"/>
    </row>
    <row r="49" spans="1:2" ht="27.75" customHeight="1" x14ac:dyDescent="0.25">
      <c r="A49" s="1"/>
      <c r="B49" s="1"/>
    </row>
    <row r="50" spans="1:2" ht="27.75" customHeight="1" x14ac:dyDescent="0.25">
      <c r="A50" s="1"/>
      <c r="B50" s="1"/>
    </row>
    <row r="51" spans="1:2" ht="27.75" customHeight="1" x14ac:dyDescent="0.25">
      <c r="A51" s="1"/>
      <c r="B51" s="1"/>
    </row>
    <row r="52" spans="1:2" ht="27.75" customHeight="1" x14ac:dyDescent="0.25">
      <c r="A52" s="1"/>
      <c r="B52" s="1"/>
    </row>
    <row r="53" spans="1:2" ht="27.75" customHeight="1" x14ac:dyDescent="0.25">
      <c r="A53" s="1"/>
      <c r="B53" s="1"/>
    </row>
    <row r="54" spans="1:2" ht="27.75" customHeight="1" x14ac:dyDescent="0.25">
      <c r="A54" s="1"/>
      <c r="B54" s="1"/>
    </row>
    <row r="55" spans="1:2" ht="27.75" customHeight="1" x14ac:dyDescent="0.25">
      <c r="A55" s="1"/>
      <c r="B55" s="1"/>
    </row>
    <row r="56" spans="1:2" ht="27.75" customHeight="1" x14ac:dyDescent="0.25">
      <c r="A56" s="1"/>
      <c r="B56" s="1"/>
    </row>
    <row r="57" spans="1:2" ht="27.75" customHeight="1" x14ac:dyDescent="0.25">
      <c r="A57" s="1"/>
      <c r="B57" s="1"/>
    </row>
    <row r="58" spans="1:2" ht="27.75" customHeight="1" x14ac:dyDescent="0.25">
      <c r="A58" s="1"/>
      <c r="B58" s="1"/>
    </row>
    <row r="59" spans="1:2" ht="27.75" customHeight="1" x14ac:dyDescent="0.25">
      <c r="A59" s="1"/>
      <c r="B59" s="1"/>
    </row>
    <row r="60" spans="1:2" ht="27.75" customHeight="1" x14ac:dyDescent="0.25">
      <c r="A60" s="1"/>
      <c r="B60" s="1"/>
    </row>
    <row r="61" spans="1:2" ht="27.75" customHeight="1" x14ac:dyDescent="0.25">
      <c r="A61" s="1"/>
      <c r="B61" s="1"/>
    </row>
    <row r="62" spans="1:2" ht="27.75" customHeight="1" x14ac:dyDescent="0.25">
      <c r="A62" s="1"/>
      <c r="B62" s="1"/>
    </row>
    <row r="63" spans="1:2" ht="27.75" customHeight="1" x14ac:dyDescent="0.25">
      <c r="A63" s="1"/>
      <c r="B63" s="1"/>
    </row>
    <row r="64" spans="1:2" ht="27.75" customHeight="1" x14ac:dyDescent="0.25">
      <c r="A64" s="1"/>
      <c r="B64" s="1"/>
    </row>
    <row r="65" spans="1:2" ht="27.75" customHeight="1" x14ac:dyDescent="0.25">
      <c r="A65" s="1"/>
      <c r="B65" s="1"/>
    </row>
    <row r="66" spans="1:2" ht="27.75" customHeight="1" x14ac:dyDescent="0.25">
      <c r="A66" s="1"/>
      <c r="B66" s="1"/>
    </row>
    <row r="67" spans="1:2" ht="27.75" customHeight="1" x14ac:dyDescent="0.25">
      <c r="A67" s="1"/>
      <c r="B67" s="1"/>
    </row>
    <row r="68" spans="1:2" ht="27.75" customHeight="1" x14ac:dyDescent="0.25">
      <c r="A68" s="1"/>
      <c r="B68" s="1"/>
    </row>
    <row r="69" spans="1:2" ht="27.75" customHeight="1" x14ac:dyDescent="0.25">
      <c r="A69" s="1"/>
      <c r="B69" s="1"/>
    </row>
    <row r="70" spans="1:2" ht="27.75" customHeight="1" x14ac:dyDescent="0.25">
      <c r="A70" s="1"/>
      <c r="B70" s="1"/>
    </row>
    <row r="71" spans="1:2" ht="27.75" customHeight="1" x14ac:dyDescent="0.25">
      <c r="A71" s="1"/>
      <c r="B71" s="1"/>
    </row>
    <row r="72" spans="1:2" ht="27.75" customHeight="1" x14ac:dyDescent="0.25">
      <c r="A72" s="1"/>
      <c r="B72" s="1"/>
    </row>
    <row r="73" spans="1:2" ht="27.75" customHeight="1" x14ac:dyDescent="0.25">
      <c r="A73" s="1"/>
      <c r="B73" s="1"/>
    </row>
    <row r="74" spans="1:2" ht="27.75" customHeight="1" x14ac:dyDescent="0.25">
      <c r="A74" s="1"/>
      <c r="B74" s="1"/>
    </row>
    <row r="75" spans="1:2" ht="27.75" customHeight="1" x14ac:dyDescent="0.25">
      <c r="A75" s="1"/>
      <c r="B75" s="1"/>
    </row>
    <row r="76" spans="1:2" ht="27.75" customHeight="1" x14ac:dyDescent="0.25">
      <c r="A76" s="1"/>
      <c r="B76" s="1"/>
    </row>
    <row r="77" spans="1:2" ht="27.75" customHeight="1" x14ac:dyDescent="0.25">
      <c r="A77" s="1"/>
      <c r="B77" s="1"/>
    </row>
    <row r="78" spans="1:2" ht="27.75" customHeight="1" x14ac:dyDescent="0.25">
      <c r="A78" s="1"/>
      <c r="B78" s="1"/>
    </row>
    <row r="79" spans="1:2" ht="27.75" customHeight="1" x14ac:dyDescent="0.25">
      <c r="A79" s="1"/>
      <c r="B79" s="1"/>
    </row>
    <row r="80" spans="1:2" ht="27.75" customHeight="1" x14ac:dyDescent="0.25">
      <c r="A80" s="1"/>
      <c r="B80" s="1"/>
    </row>
    <row r="81" spans="1:2" ht="27.75" customHeight="1" x14ac:dyDescent="0.25">
      <c r="A81" s="1"/>
      <c r="B81" s="1"/>
    </row>
    <row r="82" spans="1:2" ht="27.75" customHeight="1" x14ac:dyDescent="0.25">
      <c r="A82" s="1"/>
      <c r="B82" s="1"/>
    </row>
    <row r="83" spans="1:2" ht="27.75" customHeight="1" x14ac:dyDescent="0.25">
      <c r="A83" s="1"/>
      <c r="B83" s="1"/>
    </row>
    <row r="84" spans="1:2" ht="27.75" customHeight="1" x14ac:dyDescent="0.25">
      <c r="A84" s="1"/>
      <c r="B84" s="1"/>
    </row>
    <row r="85" spans="1:2" ht="27.75" customHeight="1" x14ac:dyDescent="0.25">
      <c r="A85" s="1"/>
      <c r="B85" s="1"/>
    </row>
    <row r="86" spans="1:2" ht="27.75" customHeight="1" x14ac:dyDescent="0.25">
      <c r="A86" s="1"/>
      <c r="B86" s="1"/>
    </row>
    <row r="87" spans="1:2" ht="27.75" customHeight="1" x14ac:dyDescent="0.25">
      <c r="A87" s="1"/>
      <c r="B87" s="1"/>
    </row>
    <row r="88" spans="1:2" ht="27.75" customHeight="1" x14ac:dyDescent="0.25">
      <c r="A88" s="1"/>
      <c r="B88" s="1"/>
    </row>
    <row r="89" spans="1:2" ht="27.75" customHeight="1" x14ac:dyDescent="0.25">
      <c r="A89" s="1"/>
      <c r="B89" s="1"/>
    </row>
    <row r="90" spans="1:2" ht="27.75" customHeight="1" x14ac:dyDescent="0.25">
      <c r="A90" s="1"/>
      <c r="B90" s="1"/>
    </row>
    <row r="91" spans="1:2" ht="27.75" customHeight="1" x14ac:dyDescent="0.25">
      <c r="A91" s="1"/>
      <c r="B91" s="1"/>
    </row>
    <row r="92" spans="1:2" ht="27.75" customHeight="1" x14ac:dyDescent="0.25">
      <c r="A92" s="1"/>
      <c r="B92" s="1"/>
    </row>
    <row r="93" spans="1:2" ht="27.75" customHeight="1" x14ac:dyDescent="0.25">
      <c r="A93" s="1"/>
      <c r="B93" s="1"/>
    </row>
    <row r="94" spans="1:2" ht="27.75" customHeight="1" x14ac:dyDescent="0.25">
      <c r="A94" s="1"/>
      <c r="B94" s="1"/>
    </row>
    <row r="95" spans="1:2" ht="27.75" customHeight="1" x14ac:dyDescent="0.25">
      <c r="A95" s="1"/>
      <c r="B95" s="1"/>
    </row>
    <row r="96" spans="1:2" ht="27.75" customHeight="1" x14ac:dyDescent="0.25">
      <c r="A96" s="1"/>
      <c r="B96" s="1"/>
    </row>
    <row r="97" spans="1:2" ht="27.75" customHeight="1" x14ac:dyDescent="0.25">
      <c r="A97" s="1"/>
      <c r="B97" s="1"/>
    </row>
    <row r="98" spans="1:2" ht="27.75" customHeight="1" x14ac:dyDescent="0.25">
      <c r="A98" s="1"/>
      <c r="B98" s="1"/>
    </row>
    <row r="99" spans="1:2" ht="27.75" customHeight="1" x14ac:dyDescent="0.25">
      <c r="A99" s="1"/>
      <c r="B99" s="1"/>
    </row>
    <row r="100" spans="1:2" ht="27.75" customHeight="1" x14ac:dyDescent="0.25">
      <c r="A100" s="1"/>
      <c r="B100" s="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FE1F0-47CF-462A-B618-A851F1469730}">
  <sheetPr codeName="Planilha20"/>
  <dimension ref="A1:Z100"/>
  <sheetViews>
    <sheetView showGridLines="0" showRowColHeaders="0" workbookViewId="0">
      <selection activeCell="D11" sqref="D11:D15"/>
    </sheetView>
  </sheetViews>
  <sheetFormatPr defaultColWidth="14.85546875" defaultRowHeight="27.75" customHeight="1" x14ac:dyDescent="0.25"/>
  <cols>
    <col min="1" max="2" width="14.85546875" style="2"/>
    <col min="3" max="10" width="21.28515625" style="2" customWidth="1"/>
    <col min="11" max="16384" width="14.85546875" style="2"/>
  </cols>
  <sheetData>
    <row r="1" spans="1:26" ht="32.2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27.75" customHeight="1" x14ac:dyDescent="0.25">
      <c r="A2" s="1"/>
      <c r="B2" s="1"/>
    </row>
    <row r="3" spans="1:26" ht="27.75" customHeight="1" x14ac:dyDescent="0.25">
      <c r="A3" s="1"/>
      <c r="B3" s="1"/>
      <c r="C3" s="10" t="s">
        <v>15</v>
      </c>
      <c r="E3" s="10">
        <v>1</v>
      </c>
      <c r="F3" s="10">
        <v>2</v>
      </c>
      <c r="G3" s="10">
        <v>3</v>
      </c>
      <c r="H3" s="10">
        <v>4</v>
      </c>
      <c r="I3" s="10">
        <v>5</v>
      </c>
    </row>
    <row r="4" spans="1:26" ht="27.75" customHeight="1" x14ac:dyDescent="0.25">
      <c r="A4" s="1"/>
      <c r="B4" s="1"/>
      <c r="D4" s="8"/>
      <c r="E4" s="9" t="s">
        <v>0</v>
      </c>
      <c r="F4" s="9" t="s">
        <v>1</v>
      </c>
      <c r="G4" s="9" t="s">
        <v>2</v>
      </c>
      <c r="H4" s="9" t="s">
        <v>3</v>
      </c>
      <c r="I4" s="9" t="s">
        <v>4</v>
      </c>
    </row>
    <row r="5" spans="1:26" ht="27.75" customHeight="1" x14ac:dyDescent="0.25">
      <c r="A5" s="1"/>
      <c r="B5" s="1"/>
      <c r="C5" s="10">
        <v>1</v>
      </c>
      <c r="D5" s="3">
        <v>0.29166666666666669</v>
      </c>
      <c r="E5" s="7" t="str">
        <f>IFERROR(INDEX(Tabela2[[Disciplina]:[Disciplina]],MATCH($C$3&amp;E$3&amp;$C5,Tabela2[[aux]:[aux]],0)),"-")</f>
        <v>-</v>
      </c>
      <c r="F5" s="7" t="str">
        <f>IFERROR(INDEX(Tabela2[[Disciplina]:[Disciplina]],MATCH($C$3&amp;F$3&amp;$C5,Tabela2[[aux]:[aux]],0)),"-")</f>
        <v>-</v>
      </c>
      <c r="G5" s="7" t="str">
        <f>IFERROR(INDEX(Tabela2[[Disciplina]:[Disciplina]],MATCH($C$3&amp;G$3&amp;$C5,Tabela2[[aux]:[aux]],0)),"-")</f>
        <v>-</v>
      </c>
      <c r="H5" s="7" t="str">
        <f>IFERROR(INDEX(Tabela2[[Disciplina]:[Disciplina]],MATCH($C$3&amp;H$3&amp;$C5,Tabela2[[aux]:[aux]],0)),"-")</f>
        <v>-</v>
      </c>
      <c r="I5" s="7" t="str">
        <f>IFERROR(INDEX(Tabela2[[Disciplina]:[Disciplina]],MATCH($C$3&amp;I$3&amp;$C5,Tabela2[[aux]:[aux]],0)),"-")</f>
        <v>-</v>
      </c>
    </row>
    <row r="6" spans="1:26" ht="27.75" customHeight="1" x14ac:dyDescent="0.25">
      <c r="A6" s="1"/>
      <c r="B6" s="1"/>
      <c r="C6" s="10">
        <v>2</v>
      </c>
      <c r="D6" s="3">
        <v>0.3298611111111111</v>
      </c>
      <c r="E6" s="7" t="str">
        <f>IFERROR(INDEX(Tabela2[[Disciplina]:[Disciplina]],MATCH($C$3&amp;E$3&amp;$C6,Tabela2[[aux]:[aux]],0)),"-")</f>
        <v>-</v>
      </c>
      <c r="F6" s="7" t="str">
        <f>IFERROR(INDEX(Tabela2[[Disciplina]:[Disciplina]],MATCH($C$3&amp;F$3&amp;$C6,Tabela2[[aux]:[aux]],0)),"-")</f>
        <v>-</v>
      </c>
      <c r="G6" s="7" t="str">
        <f>IFERROR(INDEX(Tabela2[[Disciplina]:[Disciplina]],MATCH($C$3&amp;G$3&amp;$C6,Tabela2[[aux]:[aux]],0)),"-")</f>
        <v>-</v>
      </c>
      <c r="H6" s="7" t="str">
        <f>IFERROR(INDEX(Tabela2[[Disciplina]:[Disciplina]],MATCH($C$3&amp;H$3&amp;$C6,Tabela2[[aux]:[aux]],0)),"-")</f>
        <v>-</v>
      </c>
      <c r="I6" s="7" t="str">
        <f>IFERROR(INDEX(Tabela2[[Disciplina]:[Disciplina]],MATCH($C$3&amp;I$3&amp;$C6,Tabela2[[aux]:[aux]],0)),"-")</f>
        <v>-</v>
      </c>
    </row>
    <row r="7" spans="1:26" ht="27.75" customHeight="1" x14ac:dyDescent="0.25">
      <c r="A7" s="1"/>
      <c r="B7" s="1"/>
      <c r="C7" s="10">
        <v>3</v>
      </c>
      <c r="D7" s="3">
        <v>0.36805555555555558</v>
      </c>
      <c r="E7" s="7" t="str">
        <f>IFERROR(INDEX(Tabela2[[Disciplina]:[Disciplina]],MATCH($C$3&amp;E$3&amp;$C7,Tabela2[[aux]:[aux]],0)),"-")</f>
        <v>-</v>
      </c>
      <c r="F7" s="7" t="str">
        <f>IFERROR(INDEX(Tabela2[[Disciplina]:[Disciplina]],MATCH($C$3&amp;F$3&amp;$C7,Tabela2[[aux]:[aux]],0)),"-")</f>
        <v>PCO209</v>
      </c>
      <c r="G7" s="7" t="str">
        <f>IFERROR(INDEX(Tabela2[[Disciplina]:[Disciplina]],MATCH($C$3&amp;G$3&amp;$C7,Tabela2[[aux]:[aux]],0)),"-")</f>
        <v>-</v>
      </c>
      <c r="H7" s="7" t="str">
        <f>IFERROR(INDEX(Tabela2[[Disciplina]:[Disciplina]],MATCH($C$3&amp;H$3&amp;$C7,Tabela2[[aux]:[aux]],0)),"-")</f>
        <v>-</v>
      </c>
      <c r="I7" s="7" t="str">
        <f>IFERROR(INDEX(Tabela2[[Disciplina]:[Disciplina]],MATCH($C$3&amp;I$3&amp;$C7,Tabela2[[aux]:[aux]],0)),"-")</f>
        <v>-</v>
      </c>
    </row>
    <row r="8" spans="1:26" ht="27.75" customHeight="1" x14ac:dyDescent="0.25">
      <c r="A8" s="1"/>
      <c r="B8" s="1"/>
      <c r="C8" s="10">
        <v>4</v>
      </c>
      <c r="D8" s="3">
        <v>0.4236111111111111</v>
      </c>
      <c r="E8" s="7" t="str">
        <f>IFERROR(INDEX(Tabela2[[Disciplina]:[Disciplina]],MATCH($C$3&amp;E$3&amp;$C8,Tabela2[[aux]:[aux]],0)),"-")</f>
        <v>-</v>
      </c>
      <c r="F8" s="7" t="str">
        <f>IFERROR(INDEX(Tabela2[[Disciplina]:[Disciplina]],MATCH($C$3&amp;F$3&amp;$C8,Tabela2[[aux]:[aux]],0)),"-")</f>
        <v>PCO209</v>
      </c>
      <c r="G8" s="7" t="str">
        <f>IFERROR(INDEX(Tabela2[[Disciplina]:[Disciplina]],MATCH($C$3&amp;G$3&amp;$C8,Tabela2[[aux]:[aux]],0)),"-")</f>
        <v>-</v>
      </c>
      <c r="H8" s="7" t="str">
        <f>IFERROR(INDEX(Tabela2[[Disciplina]:[Disciplina]],MATCH($C$3&amp;H$3&amp;$C8,Tabela2[[aux]:[aux]],0)),"-")</f>
        <v>-</v>
      </c>
      <c r="I8" s="7" t="str">
        <f>IFERROR(INDEX(Tabela2[[Disciplina]:[Disciplina]],MATCH($C$3&amp;I$3&amp;$C8,Tabela2[[aux]:[aux]],0)),"-")</f>
        <v>-</v>
      </c>
    </row>
    <row r="9" spans="1:26" ht="27.75" customHeight="1" x14ac:dyDescent="0.25">
      <c r="A9" s="1"/>
      <c r="B9" s="1"/>
      <c r="C9" s="10">
        <v>5</v>
      </c>
      <c r="D9" s="4">
        <v>0.46180555555555558</v>
      </c>
      <c r="E9" s="7" t="str">
        <f>IFERROR(INDEX(Tabela2[[Disciplina]:[Disciplina]],MATCH($C$3&amp;E$3&amp;$C9,Tabela2[[aux]:[aux]],0)),"-")</f>
        <v>-</v>
      </c>
      <c r="F9" s="7" t="str">
        <f>IFERROR(INDEX(Tabela2[[Disciplina]:[Disciplina]],MATCH($C$3&amp;F$3&amp;$C9,Tabela2[[aux]:[aux]],0)),"-")</f>
        <v>-</v>
      </c>
      <c r="G9" s="7" t="str">
        <f>IFERROR(INDEX(Tabela2[[Disciplina]:[Disciplina]],MATCH($C$3&amp;G$3&amp;$C9,Tabela2[[aux]:[aux]],0)),"-")</f>
        <v>-</v>
      </c>
      <c r="H9" s="7" t="str">
        <f>IFERROR(INDEX(Tabela2[[Disciplina]:[Disciplina]],MATCH($C$3&amp;H$3&amp;$C9,Tabela2[[aux]:[aux]],0)),"-")</f>
        <v>-</v>
      </c>
      <c r="I9" s="7" t="str">
        <f>IFERROR(INDEX(Tabela2[[Disciplina]:[Disciplina]],MATCH($C$3&amp;I$3&amp;$C9,Tabela2[[aux]:[aux]],0)),"-")</f>
        <v>-</v>
      </c>
    </row>
    <row r="10" spans="1:26" ht="9" customHeight="1" x14ac:dyDescent="0.25">
      <c r="A10" s="1"/>
      <c r="B10" s="1"/>
      <c r="C10" s="10"/>
      <c r="D10" s="5"/>
      <c r="E10" s="7" t="str">
        <f>IFERROR(INDEX(Tabela2[[Disciplina]:[Disciplina]],MATCH($C$3&amp;E$3&amp;$C10,Tabela2[[aux]:[aux]],0)),"-")</f>
        <v>-</v>
      </c>
      <c r="F10" s="7" t="str">
        <f>IFERROR(INDEX(Tabela2[[Disciplina]:[Disciplina]],MATCH($C$3&amp;F$3&amp;$C10,Tabela2[[aux]:[aux]],0)),"-")</f>
        <v>-</v>
      </c>
      <c r="G10" s="7" t="str">
        <f>IFERROR(INDEX(Tabela2[[Disciplina]:[Disciplina]],MATCH($C$3&amp;G$3&amp;$C10,Tabela2[[aux]:[aux]],0)),"-")</f>
        <v>-</v>
      </c>
      <c r="H10" s="7" t="str">
        <f>IFERROR(INDEX(Tabela2[[Disciplina]:[Disciplina]],MATCH($C$3&amp;H$3&amp;$C10,Tabela2[[aux]:[aux]],0)),"-")</f>
        <v>-</v>
      </c>
      <c r="I10" s="7" t="str">
        <f>IFERROR(INDEX(Tabela2[[Disciplina]:[Disciplina]],MATCH($C$3&amp;I$3&amp;$C10,Tabela2[[aux]:[aux]],0)),"-")</f>
        <v>-</v>
      </c>
    </row>
    <row r="11" spans="1:26" ht="27.75" customHeight="1" x14ac:dyDescent="0.25">
      <c r="A11" s="1"/>
      <c r="B11" s="1"/>
      <c r="C11" s="10">
        <v>6</v>
      </c>
      <c r="D11" s="6">
        <v>0.5625</v>
      </c>
      <c r="E11" s="7" t="str">
        <f>IFERROR(INDEX(Tabela2[[Disciplina]:[Disciplina]],MATCH($C$3&amp;E$3&amp;$C11,Tabela2[[aux]:[aux]],0)),"-")</f>
        <v>-</v>
      </c>
      <c r="F11" s="7" t="str">
        <f>IFERROR(INDEX(Tabela2[[Disciplina]:[Disciplina]],MATCH($C$3&amp;F$3&amp;$C11,Tabela2[[aux]:[aux]],0)),"-")</f>
        <v>-</v>
      </c>
      <c r="G11" s="7" t="str">
        <f>IFERROR(INDEX(Tabela2[[Disciplina]:[Disciplina]],MATCH($C$3&amp;G$3&amp;$C11,Tabela2[[aux]:[aux]],0)),"-")</f>
        <v>PCO209</v>
      </c>
      <c r="H11" s="7" t="str">
        <f>IFERROR(INDEX(Tabela2[[Disciplina]:[Disciplina]],MATCH($C$3&amp;H$3&amp;$C11,Tabela2[[aux]:[aux]],0)),"-")</f>
        <v>-</v>
      </c>
      <c r="I11" s="7" t="str">
        <f>IFERROR(INDEX(Tabela2[[Disciplina]:[Disciplina]],MATCH($C$3&amp;I$3&amp;$C11,Tabela2[[aux]:[aux]],0)),"-")</f>
        <v>-</v>
      </c>
    </row>
    <row r="12" spans="1:26" ht="27.75" customHeight="1" x14ac:dyDescent="0.25">
      <c r="A12" s="1"/>
      <c r="B12" s="1"/>
      <c r="C12" s="10">
        <v>7</v>
      </c>
      <c r="D12" s="3">
        <v>0.60069444444444442</v>
      </c>
      <c r="E12" s="7" t="str">
        <f>IFERROR(INDEX(Tabela2[[Disciplina]:[Disciplina]],MATCH($C$3&amp;E$3&amp;$C12,Tabela2[[aux]:[aux]],0)),"-")</f>
        <v>-</v>
      </c>
      <c r="F12" s="7" t="str">
        <f>IFERROR(INDEX(Tabela2[[Disciplina]:[Disciplina]],MATCH($C$3&amp;F$3&amp;$C12,Tabela2[[aux]:[aux]],0)),"-")</f>
        <v>-</v>
      </c>
      <c r="G12" s="7" t="str">
        <f>IFERROR(INDEX(Tabela2[[Disciplina]:[Disciplina]],MATCH($C$3&amp;G$3&amp;$C12,Tabela2[[aux]:[aux]],0)),"-")</f>
        <v>PCO209</v>
      </c>
      <c r="H12" s="7" t="str">
        <f>IFERROR(INDEX(Tabela2[[Disciplina]:[Disciplina]],MATCH($C$3&amp;H$3&amp;$C12,Tabela2[[aux]:[aux]],0)),"-")</f>
        <v>-</v>
      </c>
      <c r="I12" s="7" t="str">
        <f>IFERROR(INDEX(Tabela2[[Disciplina]:[Disciplina]],MATCH($C$3&amp;I$3&amp;$C12,Tabela2[[aux]:[aux]],0)),"-")</f>
        <v>-</v>
      </c>
    </row>
    <row r="13" spans="1:26" ht="27.75" customHeight="1" x14ac:dyDescent="0.25">
      <c r="A13" s="1"/>
      <c r="B13" s="1"/>
      <c r="C13" s="10">
        <v>8</v>
      </c>
      <c r="D13" s="3">
        <v>0.65625</v>
      </c>
      <c r="E13" s="7" t="str">
        <f>IFERROR(INDEX(Tabela2[[Disciplina]:[Disciplina]],MATCH($C$3&amp;E$3&amp;$C13,Tabela2[[aux]:[aux]],0)),"-")</f>
        <v>-</v>
      </c>
      <c r="F13" s="7" t="str">
        <f>IFERROR(INDEX(Tabela2[[Disciplina]:[Disciplina]],MATCH($C$3&amp;F$3&amp;$C13,Tabela2[[aux]:[aux]],0)),"-")</f>
        <v>-</v>
      </c>
      <c r="G13" s="7" t="str">
        <f>IFERROR(INDEX(Tabela2[[Disciplina]:[Disciplina]],MATCH($C$3&amp;G$3&amp;$C13,Tabela2[[aux]:[aux]],0)),"-")</f>
        <v>-</v>
      </c>
      <c r="H13" s="7" t="str">
        <f>IFERROR(INDEX(Tabela2[[Disciplina]:[Disciplina]],MATCH($C$3&amp;H$3&amp;$C13,Tabela2[[aux]:[aux]],0)),"-")</f>
        <v>-</v>
      </c>
      <c r="I13" s="7" t="str">
        <f>IFERROR(INDEX(Tabela2[[Disciplina]:[Disciplina]],MATCH($C$3&amp;I$3&amp;$C13,Tabela2[[aux]:[aux]],0)),"-")</f>
        <v>-</v>
      </c>
    </row>
    <row r="14" spans="1:26" ht="27.75" customHeight="1" x14ac:dyDescent="0.25">
      <c r="A14" s="1"/>
      <c r="B14" s="1"/>
      <c r="C14" s="10">
        <v>9</v>
      </c>
      <c r="D14" s="3">
        <v>0.69444444444444442</v>
      </c>
      <c r="E14" s="7" t="str">
        <f>IFERROR(INDEX(Tabela2[[Disciplina]:[Disciplina]],MATCH($C$3&amp;E$3&amp;$C14,Tabela2[[aux]:[aux]],0)),"-")</f>
        <v>-</v>
      </c>
      <c r="F14" s="7" t="str">
        <f>IFERROR(INDEX(Tabela2[[Disciplina]:[Disciplina]],MATCH($C$3&amp;F$3&amp;$C14,Tabela2[[aux]:[aux]],0)),"-")</f>
        <v>-</v>
      </c>
      <c r="G14" s="7" t="str">
        <f>IFERROR(INDEX(Tabela2[[Disciplina]:[Disciplina]],MATCH($C$3&amp;G$3&amp;$C14,Tabela2[[aux]:[aux]],0)),"-")</f>
        <v>-</v>
      </c>
      <c r="H14" s="7" t="str">
        <f>IFERROR(INDEX(Tabela2[[Disciplina]:[Disciplina]],MATCH($C$3&amp;H$3&amp;$C14,Tabela2[[aux]:[aux]],0)),"-")</f>
        <v>-</v>
      </c>
      <c r="I14" s="7" t="str">
        <f>IFERROR(INDEX(Tabela2[[Disciplina]:[Disciplina]],MATCH($C$3&amp;I$3&amp;$C14,Tabela2[[aux]:[aux]],0)),"-")</f>
        <v>-</v>
      </c>
    </row>
    <row r="15" spans="1:26" ht="27.75" customHeight="1" x14ac:dyDescent="0.25">
      <c r="A15" s="1"/>
      <c r="B15" s="1"/>
      <c r="C15" s="10">
        <v>10</v>
      </c>
      <c r="D15" s="3">
        <v>0.73263888888888884</v>
      </c>
      <c r="E15" s="7" t="str">
        <f>IFERROR(INDEX(Tabela2[[Disciplina]:[Disciplina]],MATCH($C$3&amp;E$3&amp;$C15,Tabela2[[aux]:[aux]],0)),"-")</f>
        <v>-</v>
      </c>
      <c r="F15" s="7" t="str">
        <f>IFERROR(INDEX(Tabela2[[Disciplina]:[Disciplina]],MATCH($C$3&amp;F$3&amp;$C15,Tabela2[[aux]:[aux]],0)),"-")</f>
        <v>-</v>
      </c>
      <c r="G15" s="7" t="str">
        <f>IFERROR(INDEX(Tabela2[[Disciplina]:[Disciplina]],MATCH($C$3&amp;G$3&amp;$C15,Tabela2[[aux]:[aux]],0)),"-")</f>
        <v>-</v>
      </c>
      <c r="H15" s="7" t="str">
        <f>IFERROR(INDEX(Tabela2[[Disciplina]:[Disciplina]],MATCH($C$3&amp;H$3&amp;$C15,Tabela2[[aux]:[aux]],0)),"-")</f>
        <v>-</v>
      </c>
      <c r="I15" s="7" t="str">
        <f>IFERROR(INDEX(Tabela2[[Disciplina]:[Disciplina]],MATCH($C$3&amp;I$3&amp;$C15,Tabela2[[aux]:[aux]],0)),"-")</f>
        <v>-</v>
      </c>
    </row>
    <row r="16" spans="1:26" ht="8.25" customHeight="1" x14ac:dyDescent="0.25">
      <c r="A16" s="1"/>
      <c r="B16" s="1"/>
      <c r="D16" s="11"/>
      <c r="E16" s="7" t="str">
        <f>IFERROR(INDEX(Tabela2[[Disciplina]:[Disciplina]],MATCH($C$3&amp;E$3&amp;$C16,Tabela2[[aux]:[aux]],0)),"-")</f>
        <v>-</v>
      </c>
      <c r="F16" s="7" t="str">
        <f>IFERROR(INDEX(Tabela2[[Disciplina]:[Disciplina]],MATCH($C$3&amp;F$3&amp;$C16,Tabela2[[aux]:[aux]],0)),"-")</f>
        <v>-</v>
      </c>
      <c r="G16" s="7" t="str">
        <f>IFERROR(INDEX(Tabela2[[Disciplina]:[Disciplina]],MATCH($C$3&amp;G$3&amp;$C16,Tabela2[[aux]:[aux]],0)),"-")</f>
        <v>-</v>
      </c>
      <c r="H16" s="7" t="str">
        <f>IFERROR(INDEX(Tabela2[[Disciplina]:[Disciplina]],MATCH($C$3&amp;H$3&amp;$C16,Tabela2[[aux]:[aux]],0)),"-")</f>
        <v>-</v>
      </c>
      <c r="I16" s="7" t="str">
        <f>IFERROR(INDEX(Tabela2[[Disciplina]:[Disciplina]],MATCH($C$3&amp;I$3&amp;$C16,Tabela2[[aux]:[aux]],0)),"-")</f>
        <v>-</v>
      </c>
    </row>
    <row r="17" spans="1:9" ht="27.75" customHeight="1" x14ac:dyDescent="0.25">
      <c r="A17" s="1"/>
      <c r="B17" s="1"/>
      <c r="C17" s="10">
        <v>11</v>
      </c>
      <c r="D17" s="3">
        <v>0.79166666666666663</v>
      </c>
      <c r="E17" s="7" t="str">
        <f>IFERROR(INDEX(Tabela2[[Disciplina]:[Disciplina]],MATCH($C$3&amp;E$3&amp;$C17,Tabela2[[aux]:[aux]],0)),"-")</f>
        <v>-</v>
      </c>
      <c r="F17" s="7" t="str">
        <f>IFERROR(INDEX(Tabela2[[Disciplina]:[Disciplina]],MATCH($C$3&amp;F$3&amp;$C17,Tabela2[[aux]:[aux]],0)),"-")</f>
        <v>-</v>
      </c>
      <c r="G17" s="7" t="str">
        <f>IFERROR(INDEX(Tabela2[[Disciplina]:[Disciplina]],MATCH($C$3&amp;G$3&amp;$C17,Tabela2[[aux]:[aux]],0)),"-")</f>
        <v>-</v>
      </c>
      <c r="H17" s="7" t="str">
        <f>IFERROR(INDEX(Tabela2[[Disciplina]:[Disciplina]],MATCH($C$3&amp;H$3&amp;$C17,Tabela2[[aux]:[aux]],0)),"-")</f>
        <v>-</v>
      </c>
      <c r="I17" s="7" t="str">
        <f>IFERROR(INDEX(Tabela2[[Disciplina]:[Disciplina]],MATCH($C$3&amp;I$3&amp;$C17,Tabela2[[aux]:[aux]],0)),"-")</f>
        <v>-</v>
      </c>
    </row>
    <row r="18" spans="1:9" ht="27.75" customHeight="1" x14ac:dyDescent="0.25">
      <c r="A18" s="1"/>
      <c r="B18" s="1"/>
      <c r="C18" s="10">
        <v>12</v>
      </c>
      <c r="D18" s="3">
        <v>0.82638888888888884</v>
      </c>
      <c r="E18" s="7" t="str">
        <f>IFERROR(INDEX(Tabela2[[Disciplina]:[Disciplina]],MATCH($C$3&amp;E$3&amp;$C18,Tabela2[[aux]:[aux]],0)),"-")</f>
        <v>-</v>
      </c>
      <c r="F18" s="7" t="str">
        <f>IFERROR(INDEX(Tabela2[[Disciplina]:[Disciplina]],MATCH($C$3&amp;F$3&amp;$C18,Tabela2[[aux]:[aux]],0)),"-")</f>
        <v>-</v>
      </c>
      <c r="G18" s="7" t="str">
        <f>IFERROR(INDEX(Tabela2[[Disciplina]:[Disciplina]],MATCH($C$3&amp;G$3&amp;$C18,Tabela2[[aux]:[aux]],0)),"-")</f>
        <v>-</v>
      </c>
      <c r="H18" s="7" t="str">
        <f>IFERROR(INDEX(Tabela2[[Disciplina]:[Disciplina]],MATCH($C$3&amp;H$3&amp;$C18,Tabela2[[aux]:[aux]],0)),"-")</f>
        <v>-</v>
      </c>
      <c r="I18" s="7" t="str">
        <f>IFERROR(INDEX(Tabela2[[Disciplina]:[Disciplina]],MATCH($C$3&amp;I$3&amp;$C18,Tabela2[[aux]:[aux]],0)),"-")</f>
        <v>-</v>
      </c>
    </row>
    <row r="19" spans="1:9" ht="27.75" customHeight="1" x14ac:dyDescent="0.25">
      <c r="A19" s="1"/>
      <c r="B19" s="1"/>
      <c r="C19" s="10">
        <v>13</v>
      </c>
      <c r="D19" s="3">
        <v>0.875</v>
      </c>
      <c r="E19" s="7" t="str">
        <f>IFERROR(INDEX(Tabela2[[Disciplina]:[Disciplina]],MATCH($C$3&amp;E$3&amp;$C19,Tabela2[[aux]:[aux]],0)),"-")</f>
        <v>-</v>
      </c>
      <c r="F19" s="7" t="str">
        <f>IFERROR(INDEX(Tabela2[[Disciplina]:[Disciplina]],MATCH($C$3&amp;F$3&amp;$C19,Tabela2[[aux]:[aux]],0)),"-")</f>
        <v>-</v>
      </c>
      <c r="G19" s="7" t="str">
        <f>IFERROR(INDEX(Tabela2[[Disciplina]:[Disciplina]],MATCH($C$3&amp;G$3&amp;$C19,Tabela2[[aux]:[aux]],0)),"-")</f>
        <v>-</v>
      </c>
      <c r="H19" s="7" t="str">
        <f>IFERROR(INDEX(Tabela2[[Disciplina]:[Disciplina]],MATCH($C$3&amp;H$3&amp;$C19,Tabela2[[aux]:[aux]],0)),"-")</f>
        <v>-</v>
      </c>
      <c r="I19" s="7" t="str">
        <f>IFERROR(INDEX(Tabela2[[Disciplina]:[Disciplina]],MATCH($C$3&amp;I$3&amp;$C19,Tabela2[[aux]:[aux]],0)),"-")</f>
        <v>-</v>
      </c>
    </row>
    <row r="20" spans="1:9" ht="27.75" customHeight="1" x14ac:dyDescent="0.25">
      <c r="A20" s="1"/>
      <c r="B20" s="1"/>
      <c r="C20" s="10">
        <v>14</v>
      </c>
      <c r="D20" s="3">
        <v>0.90972222222222221</v>
      </c>
      <c r="E20" s="7" t="str">
        <f>IFERROR(INDEX(Tabela2[[Disciplina]:[Disciplina]],MATCH($C$3&amp;E$3&amp;$C20,Tabela2[[aux]:[aux]],0)),"-")</f>
        <v>-</v>
      </c>
      <c r="F20" s="7" t="str">
        <f>IFERROR(INDEX(Tabela2[[Disciplina]:[Disciplina]],MATCH($C$3&amp;F$3&amp;$C20,Tabela2[[aux]:[aux]],0)),"-")</f>
        <v>-</v>
      </c>
      <c r="G20" s="7" t="str">
        <f>IFERROR(INDEX(Tabela2[[Disciplina]:[Disciplina]],MATCH($C$3&amp;G$3&amp;$C20,Tabela2[[aux]:[aux]],0)),"-")</f>
        <v>-</v>
      </c>
      <c r="H20" s="7" t="str">
        <f>IFERROR(INDEX(Tabela2[[Disciplina]:[Disciplina]],MATCH($C$3&amp;H$3&amp;$C20,Tabela2[[aux]:[aux]],0)),"-")</f>
        <v>-</v>
      </c>
      <c r="I20" s="7" t="str">
        <f>IFERROR(INDEX(Tabela2[[Disciplina]:[Disciplina]],MATCH($C$3&amp;I$3&amp;$C20,Tabela2[[aux]:[aux]],0)),"-")</f>
        <v>-</v>
      </c>
    </row>
    <row r="21" spans="1:9" ht="27.75" customHeight="1" x14ac:dyDescent="0.25">
      <c r="A21" s="1"/>
      <c r="B21" s="1"/>
      <c r="C21" s="10">
        <v>15</v>
      </c>
      <c r="D21" s="3">
        <v>0.94444444444444442</v>
      </c>
      <c r="E21" s="7" t="str">
        <f>IFERROR(INDEX(Tabela2[[Disciplina]:[Disciplina]],MATCH($C$3&amp;E$3&amp;$C21,Tabela2[[aux]:[aux]],0)),"-")</f>
        <v>-</v>
      </c>
      <c r="F21" s="7" t="str">
        <f>IFERROR(INDEX(Tabela2[[Disciplina]:[Disciplina]],MATCH($C$3&amp;F$3&amp;$C21,Tabela2[[aux]:[aux]],0)),"-")</f>
        <v>-</v>
      </c>
      <c r="G21" s="7" t="str">
        <f>IFERROR(INDEX(Tabela2[[Disciplina]:[Disciplina]],MATCH($C$3&amp;G$3&amp;$C21,Tabela2[[aux]:[aux]],0)),"-")</f>
        <v>-</v>
      </c>
      <c r="H21" s="7" t="str">
        <f>IFERROR(INDEX(Tabela2[[Disciplina]:[Disciplina]],MATCH($C$3&amp;H$3&amp;$C21,Tabela2[[aux]:[aux]],0)),"-")</f>
        <v>-</v>
      </c>
      <c r="I21" s="7" t="str">
        <f>IFERROR(INDEX(Tabela2[[Disciplina]:[Disciplina]],MATCH($C$3&amp;I$3&amp;$C21,Tabela2[[aux]:[aux]],0)),"-")</f>
        <v>-</v>
      </c>
    </row>
    <row r="22" spans="1:9" ht="27.75" customHeight="1" x14ac:dyDescent="0.25">
      <c r="A22" s="1"/>
      <c r="B22" s="1"/>
    </row>
    <row r="23" spans="1:9" ht="27.75" customHeight="1" x14ac:dyDescent="0.25">
      <c r="A23" s="1"/>
      <c r="B23" s="1"/>
    </row>
    <row r="24" spans="1:9" ht="27.75" customHeight="1" x14ac:dyDescent="0.25">
      <c r="A24" s="1"/>
      <c r="B24" s="1"/>
    </row>
    <row r="25" spans="1:9" ht="27.75" customHeight="1" x14ac:dyDescent="0.25">
      <c r="A25" s="1"/>
      <c r="B25" s="1"/>
    </row>
    <row r="26" spans="1:9" ht="27.75" customHeight="1" x14ac:dyDescent="0.25">
      <c r="A26" s="1"/>
      <c r="B26" s="1"/>
    </row>
    <row r="27" spans="1:9" ht="27.75" customHeight="1" x14ac:dyDescent="0.25">
      <c r="A27" s="1"/>
      <c r="B27" s="1"/>
    </row>
    <row r="28" spans="1:9" ht="27.75" customHeight="1" x14ac:dyDescent="0.25">
      <c r="A28" s="1"/>
      <c r="B28" s="1"/>
    </row>
    <row r="29" spans="1:9" ht="27.75" customHeight="1" x14ac:dyDescent="0.25">
      <c r="A29" s="1"/>
      <c r="B29" s="1"/>
    </row>
    <row r="30" spans="1:9" ht="27.75" customHeight="1" x14ac:dyDescent="0.25">
      <c r="A30" s="1"/>
      <c r="B30" s="1"/>
    </row>
    <row r="31" spans="1:9" ht="27.75" customHeight="1" x14ac:dyDescent="0.25">
      <c r="A31" s="1"/>
      <c r="B31" s="1"/>
    </row>
    <row r="32" spans="1:9" ht="27.75" customHeight="1" x14ac:dyDescent="0.25">
      <c r="A32" s="1"/>
      <c r="B32" s="1"/>
    </row>
    <row r="33" spans="1:2" ht="27.75" customHeight="1" x14ac:dyDescent="0.25">
      <c r="A33" s="1"/>
      <c r="B33" s="1"/>
    </row>
    <row r="34" spans="1:2" ht="27.75" customHeight="1" x14ac:dyDescent="0.25">
      <c r="A34" s="1"/>
      <c r="B34" s="1"/>
    </row>
    <row r="35" spans="1:2" ht="27.75" customHeight="1" x14ac:dyDescent="0.25">
      <c r="A35" s="1"/>
      <c r="B35" s="1"/>
    </row>
    <row r="36" spans="1:2" ht="27.75" customHeight="1" x14ac:dyDescent="0.25">
      <c r="A36" s="1"/>
      <c r="B36" s="1"/>
    </row>
    <row r="37" spans="1:2" ht="27.75" customHeight="1" x14ac:dyDescent="0.25">
      <c r="A37" s="1"/>
      <c r="B37" s="1"/>
    </row>
    <row r="38" spans="1:2" ht="27.75" customHeight="1" x14ac:dyDescent="0.25">
      <c r="A38" s="1"/>
      <c r="B38" s="1"/>
    </row>
    <row r="39" spans="1:2" ht="27.75" customHeight="1" x14ac:dyDescent="0.25">
      <c r="A39" s="1"/>
      <c r="B39" s="1"/>
    </row>
    <row r="40" spans="1:2" ht="27.75" customHeight="1" x14ac:dyDescent="0.25">
      <c r="A40" s="1"/>
      <c r="B40" s="1"/>
    </row>
    <row r="41" spans="1:2" ht="27.75" customHeight="1" x14ac:dyDescent="0.25">
      <c r="A41" s="1"/>
      <c r="B41" s="1"/>
    </row>
    <row r="42" spans="1:2" ht="27.75" customHeight="1" x14ac:dyDescent="0.25">
      <c r="A42" s="1"/>
      <c r="B42" s="1"/>
    </row>
    <row r="43" spans="1:2" ht="27.75" customHeight="1" x14ac:dyDescent="0.25">
      <c r="A43" s="1"/>
      <c r="B43" s="1"/>
    </row>
    <row r="44" spans="1:2" ht="27.75" customHeight="1" x14ac:dyDescent="0.25">
      <c r="A44" s="1"/>
      <c r="B44" s="1"/>
    </row>
    <row r="45" spans="1:2" ht="27.75" customHeight="1" x14ac:dyDescent="0.25">
      <c r="A45" s="1"/>
      <c r="B45" s="1"/>
    </row>
    <row r="46" spans="1:2" ht="27.75" customHeight="1" x14ac:dyDescent="0.25">
      <c r="A46" s="1"/>
      <c r="B46" s="1"/>
    </row>
    <row r="47" spans="1:2" ht="27.75" customHeight="1" x14ac:dyDescent="0.25">
      <c r="A47" s="1"/>
      <c r="B47" s="1"/>
    </row>
    <row r="48" spans="1:2" ht="27.75" customHeight="1" x14ac:dyDescent="0.25">
      <c r="A48" s="1"/>
      <c r="B48" s="1"/>
    </row>
    <row r="49" spans="1:2" ht="27.75" customHeight="1" x14ac:dyDescent="0.25">
      <c r="A49" s="1"/>
      <c r="B49" s="1"/>
    </row>
    <row r="50" spans="1:2" ht="27.75" customHeight="1" x14ac:dyDescent="0.25">
      <c r="A50" s="1"/>
      <c r="B50" s="1"/>
    </row>
    <row r="51" spans="1:2" ht="27.75" customHeight="1" x14ac:dyDescent="0.25">
      <c r="A51" s="1"/>
      <c r="B51" s="1"/>
    </row>
    <row r="52" spans="1:2" ht="27.75" customHeight="1" x14ac:dyDescent="0.25">
      <c r="A52" s="1"/>
      <c r="B52" s="1"/>
    </row>
    <row r="53" spans="1:2" ht="27.75" customHeight="1" x14ac:dyDescent="0.25">
      <c r="A53" s="1"/>
      <c r="B53" s="1"/>
    </row>
    <row r="54" spans="1:2" ht="27.75" customHeight="1" x14ac:dyDescent="0.25">
      <c r="A54" s="1"/>
      <c r="B54" s="1"/>
    </row>
    <row r="55" spans="1:2" ht="27.75" customHeight="1" x14ac:dyDescent="0.25">
      <c r="A55" s="1"/>
      <c r="B55" s="1"/>
    </row>
    <row r="56" spans="1:2" ht="27.75" customHeight="1" x14ac:dyDescent="0.25">
      <c r="A56" s="1"/>
      <c r="B56" s="1"/>
    </row>
    <row r="57" spans="1:2" ht="27.75" customHeight="1" x14ac:dyDescent="0.25">
      <c r="A57" s="1"/>
      <c r="B57" s="1"/>
    </row>
    <row r="58" spans="1:2" ht="27.75" customHeight="1" x14ac:dyDescent="0.25">
      <c r="A58" s="1"/>
      <c r="B58" s="1"/>
    </row>
    <row r="59" spans="1:2" ht="27.75" customHeight="1" x14ac:dyDescent="0.25">
      <c r="A59" s="1"/>
      <c r="B59" s="1"/>
    </row>
    <row r="60" spans="1:2" ht="27.75" customHeight="1" x14ac:dyDescent="0.25">
      <c r="A60" s="1"/>
      <c r="B60" s="1"/>
    </row>
    <row r="61" spans="1:2" ht="27.75" customHeight="1" x14ac:dyDescent="0.25">
      <c r="A61" s="1"/>
      <c r="B61" s="1"/>
    </row>
    <row r="62" spans="1:2" ht="27.75" customHeight="1" x14ac:dyDescent="0.25">
      <c r="A62" s="1"/>
      <c r="B62" s="1"/>
    </row>
    <row r="63" spans="1:2" ht="27.75" customHeight="1" x14ac:dyDescent="0.25">
      <c r="A63" s="1"/>
      <c r="B63" s="1"/>
    </row>
    <row r="64" spans="1:2" ht="27.75" customHeight="1" x14ac:dyDescent="0.25">
      <c r="A64" s="1"/>
      <c r="B64" s="1"/>
    </row>
    <row r="65" spans="1:2" ht="27.75" customHeight="1" x14ac:dyDescent="0.25">
      <c r="A65" s="1"/>
      <c r="B65" s="1"/>
    </row>
    <row r="66" spans="1:2" ht="27.75" customHeight="1" x14ac:dyDescent="0.25">
      <c r="A66" s="1"/>
      <c r="B66" s="1"/>
    </row>
    <row r="67" spans="1:2" ht="27.75" customHeight="1" x14ac:dyDescent="0.25">
      <c r="A67" s="1"/>
      <c r="B67" s="1"/>
    </row>
    <row r="68" spans="1:2" ht="27.75" customHeight="1" x14ac:dyDescent="0.25">
      <c r="A68" s="1"/>
      <c r="B68" s="1"/>
    </row>
    <row r="69" spans="1:2" ht="27.75" customHeight="1" x14ac:dyDescent="0.25">
      <c r="A69" s="1"/>
      <c r="B69" s="1"/>
    </row>
    <row r="70" spans="1:2" ht="27.75" customHeight="1" x14ac:dyDescent="0.25">
      <c r="A70" s="1"/>
      <c r="B70" s="1"/>
    </row>
    <row r="71" spans="1:2" ht="27.75" customHeight="1" x14ac:dyDescent="0.25">
      <c r="A71" s="1"/>
      <c r="B71" s="1"/>
    </row>
    <row r="72" spans="1:2" ht="27.75" customHeight="1" x14ac:dyDescent="0.25">
      <c r="A72" s="1"/>
      <c r="B72" s="1"/>
    </row>
    <row r="73" spans="1:2" ht="27.75" customHeight="1" x14ac:dyDescent="0.25">
      <c r="A73" s="1"/>
      <c r="B73" s="1"/>
    </row>
    <row r="74" spans="1:2" ht="27.75" customHeight="1" x14ac:dyDescent="0.25">
      <c r="A74" s="1"/>
      <c r="B74" s="1"/>
    </row>
    <row r="75" spans="1:2" ht="27.75" customHeight="1" x14ac:dyDescent="0.25">
      <c r="A75" s="1"/>
      <c r="B75" s="1"/>
    </row>
    <row r="76" spans="1:2" ht="27.75" customHeight="1" x14ac:dyDescent="0.25">
      <c r="A76" s="1"/>
      <c r="B76" s="1"/>
    </row>
    <row r="77" spans="1:2" ht="27.75" customHeight="1" x14ac:dyDescent="0.25">
      <c r="A77" s="1"/>
      <c r="B77" s="1"/>
    </row>
    <row r="78" spans="1:2" ht="27.75" customHeight="1" x14ac:dyDescent="0.25">
      <c r="A78" s="1"/>
      <c r="B78" s="1"/>
    </row>
    <row r="79" spans="1:2" ht="27.75" customHeight="1" x14ac:dyDescent="0.25">
      <c r="A79" s="1"/>
      <c r="B79" s="1"/>
    </row>
    <row r="80" spans="1:2" ht="27.75" customHeight="1" x14ac:dyDescent="0.25">
      <c r="A80" s="1"/>
      <c r="B80" s="1"/>
    </row>
    <row r="81" spans="1:2" ht="27.75" customHeight="1" x14ac:dyDescent="0.25">
      <c r="A81" s="1"/>
      <c r="B81" s="1"/>
    </row>
    <row r="82" spans="1:2" ht="27.75" customHeight="1" x14ac:dyDescent="0.25">
      <c r="A82" s="1"/>
      <c r="B82" s="1"/>
    </row>
    <row r="83" spans="1:2" ht="27.75" customHeight="1" x14ac:dyDescent="0.25">
      <c r="A83" s="1"/>
      <c r="B83" s="1"/>
    </row>
    <row r="84" spans="1:2" ht="27.75" customHeight="1" x14ac:dyDescent="0.25">
      <c r="A84" s="1"/>
      <c r="B84" s="1"/>
    </row>
    <row r="85" spans="1:2" ht="27.75" customHeight="1" x14ac:dyDescent="0.25">
      <c r="A85" s="1"/>
      <c r="B85" s="1"/>
    </row>
    <row r="86" spans="1:2" ht="27.75" customHeight="1" x14ac:dyDescent="0.25">
      <c r="A86" s="1"/>
      <c r="B86" s="1"/>
    </row>
    <row r="87" spans="1:2" ht="27.75" customHeight="1" x14ac:dyDescent="0.25">
      <c r="A87" s="1"/>
      <c r="B87" s="1"/>
    </row>
    <row r="88" spans="1:2" ht="27.75" customHeight="1" x14ac:dyDescent="0.25">
      <c r="A88" s="1"/>
      <c r="B88" s="1"/>
    </row>
    <row r="89" spans="1:2" ht="27.75" customHeight="1" x14ac:dyDescent="0.25">
      <c r="A89" s="1"/>
      <c r="B89" s="1"/>
    </row>
    <row r="90" spans="1:2" ht="27.75" customHeight="1" x14ac:dyDescent="0.25">
      <c r="A90" s="1"/>
      <c r="B90" s="1"/>
    </row>
    <row r="91" spans="1:2" ht="27.75" customHeight="1" x14ac:dyDescent="0.25">
      <c r="A91" s="1"/>
      <c r="B91" s="1"/>
    </row>
    <row r="92" spans="1:2" ht="27.75" customHeight="1" x14ac:dyDescent="0.25">
      <c r="A92" s="1"/>
      <c r="B92" s="1"/>
    </row>
    <row r="93" spans="1:2" ht="27.75" customHeight="1" x14ac:dyDescent="0.25">
      <c r="A93" s="1"/>
      <c r="B93" s="1"/>
    </row>
    <row r="94" spans="1:2" ht="27.75" customHeight="1" x14ac:dyDescent="0.25">
      <c r="A94" s="1"/>
      <c r="B94" s="1"/>
    </row>
    <row r="95" spans="1:2" ht="27.75" customHeight="1" x14ac:dyDescent="0.25">
      <c r="A95" s="1"/>
      <c r="B95" s="1"/>
    </row>
    <row r="96" spans="1:2" ht="27.75" customHeight="1" x14ac:dyDescent="0.25">
      <c r="A96" s="1"/>
      <c r="B96" s="1"/>
    </row>
    <row r="97" spans="1:2" ht="27.75" customHeight="1" x14ac:dyDescent="0.25">
      <c r="A97" s="1"/>
      <c r="B97" s="1"/>
    </row>
    <row r="98" spans="1:2" ht="27.75" customHeight="1" x14ac:dyDescent="0.25">
      <c r="A98" s="1"/>
      <c r="B98" s="1"/>
    </row>
    <row r="99" spans="1:2" ht="27.75" customHeight="1" x14ac:dyDescent="0.25">
      <c r="A99" s="1"/>
      <c r="B99" s="1"/>
    </row>
    <row r="100" spans="1:2" ht="27.75" customHeight="1" x14ac:dyDescent="0.25">
      <c r="A100" s="1"/>
      <c r="B100" s="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051B16-6A5B-425C-A416-D6166522A594}">
  <sheetPr codeName="Planilha21"/>
  <dimension ref="A1:Z100"/>
  <sheetViews>
    <sheetView showGridLines="0" showRowColHeaders="0" workbookViewId="0">
      <selection activeCell="K11" sqref="K11"/>
    </sheetView>
  </sheetViews>
  <sheetFormatPr defaultColWidth="14.85546875" defaultRowHeight="27.75" customHeight="1" x14ac:dyDescent="0.25"/>
  <cols>
    <col min="1" max="2" width="14.85546875" style="2"/>
    <col min="3" max="10" width="21.28515625" style="2" customWidth="1"/>
    <col min="11" max="16384" width="14.85546875" style="2"/>
  </cols>
  <sheetData>
    <row r="1" spans="1:26" ht="32.2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27.75" customHeight="1" x14ac:dyDescent="0.25">
      <c r="A2" s="1"/>
      <c r="B2" s="1"/>
    </row>
    <row r="3" spans="1:26" ht="27.75" customHeight="1" x14ac:dyDescent="0.25">
      <c r="A3" s="1"/>
      <c r="B3" s="1"/>
      <c r="C3" s="10" t="s">
        <v>7</v>
      </c>
      <c r="E3" s="10">
        <v>1</v>
      </c>
      <c r="F3" s="10">
        <v>2</v>
      </c>
      <c r="G3" s="10">
        <v>3</v>
      </c>
      <c r="H3" s="10">
        <v>4</v>
      </c>
      <c r="I3" s="10">
        <v>5</v>
      </c>
    </row>
    <row r="4" spans="1:26" ht="27.75" customHeight="1" x14ac:dyDescent="0.25">
      <c r="A4" s="1"/>
      <c r="B4" s="1"/>
      <c r="D4" s="8"/>
      <c r="E4" s="9" t="s">
        <v>0</v>
      </c>
      <c r="F4" s="9" t="s">
        <v>1</v>
      </c>
      <c r="G4" s="9" t="s">
        <v>2</v>
      </c>
      <c r="H4" s="9" t="s">
        <v>3</v>
      </c>
      <c r="I4" s="9" t="s">
        <v>4</v>
      </c>
    </row>
    <row r="5" spans="1:26" ht="27.75" customHeight="1" x14ac:dyDescent="0.25">
      <c r="A5" s="1"/>
      <c r="B5" s="1"/>
      <c r="C5" s="10">
        <v>1</v>
      </c>
      <c r="D5" s="3">
        <v>0.29166666666666669</v>
      </c>
      <c r="E5" s="7" t="str">
        <f>IFERROR(INDEX(Tabela2[[Disciplina]:[Disciplina]],MATCH($C$3&amp;E$3&amp;$C5,Tabela2[[aux]:[aux]],0)),"-")</f>
        <v>-</v>
      </c>
      <c r="F5" s="7" t="str">
        <f>IFERROR(INDEX(Tabela2[[Disciplina]:[Disciplina]],MATCH($C$3&amp;F$3&amp;$C5,Tabela2[[aux]:[aux]],0)),"-")</f>
        <v>-</v>
      </c>
      <c r="G5" s="7" t="str">
        <f>IFERROR(INDEX(Tabela2[[Disciplina]:[Disciplina]],MATCH($C$3&amp;G$3&amp;$C5,Tabela2[[aux]:[aux]],0)),"-")</f>
        <v>-</v>
      </c>
      <c r="H5" s="7" t="str">
        <f>IFERROR(INDEX(Tabela2[[Disciplina]:[Disciplina]],MATCH($C$3&amp;H$3&amp;$C5,Tabela2[[aux]:[aux]],0)),"-")</f>
        <v>-</v>
      </c>
      <c r="I5" s="7" t="str">
        <f>IFERROR(INDEX(Tabela2[[Disciplina]:[Disciplina]],MATCH($C$3&amp;I$3&amp;$C5,Tabela2[[aux]:[aux]],0)),"-")</f>
        <v>-</v>
      </c>
    </row>
    <row r="6" spans="1:26" ht="27.75" customHeight="1" x14ac:dyDescent="0.25">
      <c r="A6" s="1"/>
      <c r="B6" s="1"/>
      <c r="C6" s="10">
        <v>2</v>
      </c>
      <c r="D6" s="3">
        <v>0.3298611111111111</v>
      </c>
      <c r="E6" s="7" t="str">
        <f>IFERROR(INDEX(Tabela2[[Disciplina]:[Disciplina]],MATCH($C$3&amp;E$3&amp;$C6,Tabela2[[aux]:[aux]],0)),"-")</f>
        <v>-</v>
      </c>
      <c r="F6" s="7" t="str">
        <f>IFERROR(INDEX(Tabela2[[Disciplina]:[Disciplina]],MATCH($C$3&amp;F$3&amp;$C6,Tabela2[[aux]:[aux]],0)),"-")</f>
        <v>-</v>
      </c>
      <c r="G6" s="7" t="str">
        <f>IFERROR(INDEX(Tabela2[[Disciplina]:[Disciplina]],MATCH($C$3&amp;G$3&amp;$C6,Tabela2[[aux]:[aux]],0)),"-")</f>
        <v>-</v>
      </c>
      <c r="H6" s="7" t="str">
        <f>IFERROR(INDEX(Tabela2[[Disciplina]:[Disciplina]],MATCH($C$3&amp;H$3&amp;$C6,Tabela2[[aux]:[aux]],0)),"-")</f>
        <v>-</v>
      </c>
      <c r="I6" s="7" t="str">
        <f>IFERROR(INDEX(Tabela2[[Disciplina]:[Disciplina]],MATCH($C$3&amp;I$3&amp;$C6,Tabela2[[aux]:[aux]],0)),"-")</f>
        <v>-</v>
      </c>
    </row>
    <row r="7" spans="1:26" ht="27.75" customHeight="1" x14ac:dyDescent="0.25">
      <c r="A7" s="1"/>
      <c r="B7" s="1"/>
      <c r="C7" s="10">
        <v>3</v>
      </c>
      <c r="D7" s="3">
        <v>0.36805555555555558</v>
      </c>
      <c r="E7" s="7" t="str">
        <f>IFERROR(INDEX(Tabela2[[Disciplina]:[Disciplina]],MATCH($C$3&amp;E$3&amp;$C7,Tabela2[[aux]:[aux]],0)),"-")</f>
        <v>-</v>
      </c>
      <c r="F7" s="7" t="str">
        <f>IFERROR(INDEX(Tabela2[[Disciplina]:[Disciplina]],MATCH($C$3&amp;F$3&amp;$C7,Tabela2[[aux]:[aux]],0)),"-")</f>
        <v>-</v>
      </c>
      <c r="G7" s="7" t="str">
        <f>IFERROR(INDEX(Tabela2[[Disciplina]:[Disciplina]],MATCH($C$3&amp;G$3&amp;$C7,Tabela2[[aux]:[aux]],0)),"-")</f>
        <v>-</v>
      </c>
      <c r="H7" s="7" t="str">
        <f>IFERROR(INDEX(Tabela2[[Disciplina]:[Disciplina]],MATCH($C$3&amp;H$3&amp;$C7,Tabela2[[aux]:[aux]],0)),"-")</f>
        <v>-</v>
      </c>
      <c r="I7" s="7" t="str">
        <f>IFERROR(INDEX(Tabela2[[Disciplina]:[Disciplina]],MATCH($C$3&amp;I$3&amp;$C7,Tabela2[[aux]:[aux]],0)),"-")</f>
        <v>-</v>
      </c>
    </row>
    <row r="8" spans="1:26" ht="27.75" customHeight="1" x14ac:dyDescent="0.25">
      <c r="A8" s="1"/>
      <c r="B8" s="1"/>
      <c r="C8" s="10">
        <v>4</v>
      </c>
      <c r="D8" s="3">
        <v>0.4236111111111111</v>
      </c>
      <c r="E8" s="7" t="str">
        <f>IFERROR(INDEX(Tabela2[[Disciplina]:[Disciplina]],MATCH($C$3&amp;E$3&amp;$C8,Tabela2[[aux]:[aux]],0)),"-")</f>
        <v>-</v>
      </c>
      <c r="F8" s="7" t="str">
        <f>IFERROR(INDEX(Tabela2[[Disciplina]:[Disciplina]],MATCH($C$3&amp;F$3&amp;$C8,Tabela2[[aux]:[aux]],0)),"-")</f>
        <v>-</v>
      </c>
      <c r="G8" s="7" t="str">
        <f>IFERROR(INDEX(Tabela2[[Disciplina]:[Disciplina]],MATCH($C$3&amp;G$3&amp;$C8,Tabela2[[aux]:[aux]],0)),"-")</f>
        <v>-</v>
      </c>
      <c r="H8" s="7" t="str">
        <f>IFERROR(INDEX(Tabela2[[Disciplina]:[Disciplina]],MATCH($C$3&amp;H$3&amp;$C8,Tabela2[[aux]:[aux]],0)),"-")</f>
        <v>-</v>
      </c>
      <c r="I8" s="7" t="str">
        <f>IFERROR(INDEX(Tabela2[[Disciplina]:[Disciplina]],MATCH($C$3&amp;I$3&amp;$C8,Tabela2[[aux]:[aux]],0)),"-")</f>
        <v>-</v>
      </c>
    </row>
    <row r="9" spans="1:26" ht="27.75" customHeight="1" x14ac:dyDescent="0.25">
      <c r="A9" s="1"/>
      <c r="B9" s="1"/>
      <c r="C9" s="10">
        <v>5</v>
      </c>
      <c r="D9" s="4">
        <v>0.46180555555555558</v>
      </c>
      <c r="E9" s="7" t="str">
        <f>IFERROR(INDEX(Tabela2[[Disciplina]:[Disciplina]],MATCH($C$3&amp;E$3&amp;$C9,Tabela2[[aux]:[aux]],0)),"-")</f>
        <v>PCO114</v>
      </c>
      <c r="F9" s="7" t="str">
        <f>IFERROR(INDEX(Tabela2[[Disciplina]:[Disciplina]],MATCH($C$3&amp;F$3&amp;$C9,Tabela2[[aux]:[aux]],0)),"-")</f>
        <v>-</v>
      </c>
      <c r="G9" s="7" t="str">
        <f>IFERROR(INDEX(Tabela2[[Disciplina]:[Disciplina]],MATCH($C$3&amp;G$3&amp;$C9,Tabela2[[aux]:[aux]],0)),"-")</f>
        <v>-</v>
      </c>
      <c r="H9" s="7" t="str">
        <f>IFERROR(INDEX(Tabela2[[Disciplina]:[Disciplina]],MATCH($C$3&amp;H$3&amp;$C9,Tabela2[[aux]:[aux]],0)),"-")</f>
        <v>-</v>
      </c>
      <c r="I9" s="7" t="str">
        <f>IFERROR(INDEX(Tabela2[[Disciplina]:[Disciplina]],MATCH($C$3&amp;I$3&amp;$C9,Tabela2[[aux]:[aux]],0)),"-")</f>
        <v>-</v>
      </c>
    </row>
    <row r="10" spans="1:26" ht="9" customHeight="1" x14ac:dyDescent="0.25">
      <c r="A10" s="1"/>
      <c r="B10" s="1"/>
      <c r="C10" s="10"/>
      <c r="D10" s="5"/>
      <c r="E10" s="7" t="str">
        <f>IFERROR(INDEX(Tabela2[[Disciplina]:[Disciplina]],MATCH($C$3&amp;E$3&amp;$C10,Tabela2[[aux]:[aux]],0)),"-")</f>
        <v>-</v>
      </c>
      <c r="F10" s="7" t="str">
        <f>IFERROR(INDEX(Tabela2[[Disciplina]:[Disciplina]],MATCH($C$3&amp;F$3&amp;$C10,Tabela2[[aux]:[aux]],0)),"-")</f>
        <v>-</v>
      </c>
      <c r="G10" s="7" t="str">
        <f>IFERROR(INDEX(Tabela2[[Disciplina]:[Disciplina]],MATCH($C$3&amp;G$3&amp;$C10,Tabela2[[aux]:[aux]],0)),"-")</f>
        <v>-</v>
      </c>
      <c r="H10" s="7" t="str">
        <f>IFERROR(INDEX(Tabela2[[Disciplina]:[Disciplina]],MATCH($C$3&amp;H$3&amp;$C10,Tabela2[[aux]:[aux]],0)),"-")</f>
        <v>-</v>
      </c>
      <c r="I10" s="7" t="str">
        <f>IFERROR(INDEX(Tabela2[[Disciplina]:[Disciplina]],MATCH($C$3&amp;I$3&amp;$C10,Tabela2[[aux]:[aux]],0)),"-")</f>
        <v>-</v>
      </c>
    </row>
    <row r="11" spans="1:26" ht="27.75" customHeight="1" x14ac:dyDescent="0.25">
      <c r="A11" s="1"/>
      <c r="B11" s="1"/>
      <c r="C11" s="10">
        <v>6</v>
      </c>
      <c r="D11" s="6">
        <v>0.5625</v>
      </c>
      <c r="E11" s="7" t="str">
        <f>IFERROR(INDEX(Tabela2[[Disciplina]:[Disciplina]],MATCH($C$3&amp;E$3&amp;$C11,Tabela2[[aux]:[aux]],0)),"-")</f>
        <v>PCO114</v>
      </c>
      <c r="F11" s="7" t="str">
        <f>IFERROR(INDEX(Tabela2[[Disciplina]:[Disciplina]],MATCH($C$3&amp;F$3&amp;$C11,Tabela2[[aux]:[aux]],0)),"-")</f>
        <v>-</v>
      </c>
      <c r="G11" s="7" t="str">
        <f>IFERROR(INDEX(Tabela2[[Disciplina]:[Disciplina]],MATCH($C$3&amp;G$3&amp;$C11,Tabela2[[aux]:[aux]],0)),"-")</f>
        <v>-</v>
      </c>
      <c r="H11" s="7" t="str">
        <f>IFERROR(INDEX(Tabela2[[Disciplina]:[Disciplina]],MATCH($C$3&amp;H$3&amp;$C11,Tabela2[[aux]:[aux]],0)),"-")</f>
        <v>-</v>
      </c>
      <c r="I11" s="7" t="str">
        <f>IFERROR(INDEX(Tabela2[[Disciplina]:[Disciplina]],MATCH($C$3&amp;I$3&amp;$C11,Tabela2[[aux]:[aux]],0)),"-")</f>
        <v>-</v>
      </c>
    </row>
    <row r="12" spans="1:26" ht="27.75" customHeight="1" x14ac:dyDescent="0.25">
      <c r="A12" s="1"/>
      <c r="B12" s="1"/>
      <c r="C12" s="10">
        <v>7</v>
      </c>
      <c r="D12" s="3">
        <v>0.60069444444444442</v>
      </c>
      <c r="E12" s="7" t="str">
        <f>IFERROR(INDEX(Tabela2[[Disciplina]:[Disciplina]],MATCH($C$3&amp;E$3&amp;$C12,Tabela2[[aux]:[aux]],0)),"-")</f>
        <v>-</v>
      </c>
      <c r="F12" s="7" t="str">
        <f>IFERROR(INDEX(Tabela2[[Disciplina]:[Disciplina]],MATCH($C$3&amp;F$3&amp;$C12,Tabela2[[aux]:[aux]],0)),"-")</f>
        <v>-</v>
      </c>
      <c r="G12" s="7" t="str">
        <f>IFERROR(INDEX(Tabela2[[Disciplina]:[Disciplina]],MATCH($C$3&amp;G$3&amp;$C12,Tabela2[[aux]:[aux]],0)),"-")</f>
        <v>-</v>
      </c>
      <c r="H12" s="7" t="str">
        <f>IFERROR(INDEX(Tabela2[[Disciplina]:[Disciplina]],MATCH($C$3&amp;H$3&amp;$C12,Tabela2[[aux]:[aux]],0)),"-")</f>
        <v>-</v>
      </c>
      <c r="I12" s="7" t="str">
        <f>IFERROR(INDEX(Tabela2[[Disciplina]:[Disciplina]],MATCH($C$3&amp;I$3&amp;$C12,Tabela2[[aux]:[aux]],0)),"-")</f>
        <v>-</v>
      </c>
    </row>
    <row r="13" spans="1:26" ht="27.75" customHeight="1" x14ac:dyDescent="0.25">
      <c r="A13" s="1"/>
      <c r="B13" s="1"/>
      <c r="C13" s="10">
        <v>8</v>
      </c>
      <c r="D13" s="3">
        <v>0.65625</v>
      </c>
      <c r="E13" s="7" t="str">
        <f>IFERROR(INDEX(Tabela2[[Disciplina]:[Disciplina]],MATCH($C$3&amp;E$3&amp;$C13,Tabela2[[aux]:[aux]],0)),"-")</f>
        <v>-</v>
      </c>
      <c r="F13" s="7" t="str">
        <f>IFERROR(INDEX(Tabela2[[Disciplina]:[Disciplina]],MATCH($C$3&amp;F$3&amp;$C13,Tabela2[[aux]:[aux]],0)),"-")</f>
        <v>-</v>
      </c>
      <c r="G13" s="7" t="str">
        <f>IFERROR(INDEX(Tabela2[[Disciplina]:[Disciplina]],MATCH($C$3&amp;G$3&amp;$C13,Tabela2[[aux]:[aux]],0)),"-")</f>
        <v>-</v>
      </c>
      <c r="H13" s="7" t="str">
        <f>IFERROR(INDEX(Tabela2[[Disciplina]:[Disciplina]],MATCH($C$3&amp;H$3&amp;$C13,Tabela2[[aux]:[aux]],0)),"-")</f>
        <v>-</v>
      </c>
      <c r="I13" s="7" t="str">
        <f>IFERROR(INDEX(Tabela2[[Disciplina]:[Disciplina]],MATCH($C$3&amp;I$3&amp;$C13,Tabela2[[aux]:[aux]],0)),"-")</f>
        <v>-</v>
      </c>
    </row>
    <row r="14" spans="1:26" ht="27.75" customHeight="1" x14ac:dyDescent="0.25">
      <c r="A14" s="1"/>
      <c r="B14" s="1"/>
      <c r="C14" s="10">
        <v>9</v>
      </c>
      <c r="D14" s="3">
        <v>0.69444444444444442</v>
      </c>
      <c r="E14" s="7" t="str">
        <f>IFERROR(INDEX(Tabela2[[Disciplina]:[Disciplina]],MATCH($C$3&amp;E$3&amp;$C14,Tabela2[[aux]:[aux]],0)),"-")</f>
        <v>-</v>
      </c>
      <c r="F14" s="7" t="str">
        <f>IFERROR(INDEX(Tabela2[[Disciplina]:[Disciplina]],MATCH($C$3&amp;F$3&amp;$C14,Tabela2[[aux]:[aux]],0)),"-")</f>
        <v>-</v>
      </c>
      <c r="G14" s="7" t="str">
        <f>IFERROR(INDEX(Tabela2[[Disciplina]:[Disciplina]],MATCH($C$3&amp;G$3&amp;$C14,Tabela2[[aux]:[aux]],0)),"-")</f>
        <v>PCO112</v>
      </c>
      <c r="H14" s="7" t="str">
        <f>IFERROR(INDEX(Tabela2[[Disciplina]:[Disciplina]],MATCH($C$3&amp;H$3&amp;$C14,Tabela2[[aux]:[aux]],0)),"-")</f>
        <v>-</v>
      </c>
      <c r="I14" s="7" t="str">
        <f>IFERROR(INDEX(Tabela2[[Disciplina]:[Disciplina]],MATCH($C$3&amp;I$3&amp;$C14,Tabela2[[aux]:[aux]],0)),"-")</f>
        <v>-</v>
      </c>
    </row>
    <row r="15" spans="1:26" ht="27.75" customHeight="1" x14ac:dyDescent="0.25">
      <c r="A15" s="1"/>
      <c r="B15" s="1"/>
      <c r="C15" s="10">
        <v>10</v>
      </c>
      <c r="D15" s="3">
        <v>0.73263888888888884</v>
      </c>
      <c r="E15" s="7" t="str">
        <f>IFERROR(INDEX(Tabela2[[Disciplina]:[Disciplina]],MATCH($C$3&amp;E$3&amp;$C15,Tabela2[[aux]:[aux]],0)),"-")</f>
        <v>-</v>
      </c>
      <c r="F15" s="7" t="str">
        <f>IFERROR(INDEX(Tabela2[[Disciplina]:[Disciplina]],MATCH($C$3&amp;F$3&amp;$C15,Tabela2[[aux]:[aux]],0)),"-")</f>
        <v>-</v>
      </c>
      <c r="G15" s="7" t="str">
        <f>IFERROR(INDEX(Tabela2[[Disciplina]:[Disciplina]],MATCH($C$3&amp;G$3&amp;$C15,Tabela2[[aux]:[aux]],0)),"-")</f>
        <v>PCO112</v>
      </c>
      <c r="H15" s="7" t="str">
        <f>IFERROR(INDEX(Tabela2[[Disciplina]:[Disciplina]],MATCH($C$3&amp;H$3&amp;$C15,Tabela2[[aux]:[aux]],0)),"-")</f>
        <v>-</v>
      </c>
      <c r="I15" s="7" t="str">
        <f>IFERROR(INDEX(Tabela2[[Disciplina]:[Disciplina]],MATCH($C$3&amp;I$3&amp;$C15,Tabela2[[aux]:[aux]],0)),"-")</f>
        <v>-</v>
      </c>
    </row>
    <row r="16" spans="1:26" ht="8.25" customHeight="1" x14ac:dyDescent="0.25">
      <c r="A16" s="1"/>
      <c r="B16" s="1"/>
      <c r="D16" s="11"/>
      <c r="E16" s="7" t="str">
        <f>IFERROR(INDEX(Tabela2[[Disciplina]:[Disciplina]],MATCH($C$3&amp;E$3&amp;$C16,Tabela2[[aux]:[aux]],0)),"-")</f>
        <v>-</v>
      </c>
      <c r="F16" s="7" t="str">
        <f>IFERROR(INDEX(Tabela2[[Disciplina]:[Disciplina]],MATCH($C$3&amp;F$3&amp;$C16,Tabela2[[aux]:[aux]],0)),"-")</f>
        <v>-</v>
      </c>
      <c r="G16" s="7" t="str">
        <f>IFERROR(INDEX(Tabela2[[Disciplina]:[Disciplina]],MATCH($C$3&amp;G$3&amp;$C16,Tabela2[[aux]:[aux]],0)),"-")</f>
        <v>-</v>
      </c>
      <c r="H16" s="7" t="str">
        <f>IFERROR(INDEX(Tabela2[[Disciplina]:[Disciplina]],MATCH($C$3&amp;H$3&amp;$C16,Tabela2[[aux]:[aux]],0)),"-")</f>
        <v>-</v>
      </c>
      <c r="I16" s="7" t="str">
        <f>IFERROR(INDEX(Tabela2[[Disciplina]:[Disciplina]],MATCH($C$3&amp;I$3&amp;$C16,Tabela2[[aux]:[aux]],0)),"-")</f>
        <v>-</v>
      </c>
    </row>
    <row r="17" spans="1:9" ht="27.75" customHeight="1" x14ac:dyDescent="0.25">
      <c r="A17" s="1"/>
      <c r="B17" s="1"/>
      <c r="C17" s="10">
        <v>11</v>
      </c>
      <c r="D17" s="3">
        <v>0.79166666666666663</v>
      </c>
      <c r="E17" s="7" t="str">
        <f>IFERROR(INDEX(Tabela2[[Disciplina]:[Disciplina]],MATCH($C$3&amp;E$3&amp;$C17,Tabela2[[aux]:[aux]],0)),"-")</f>
        <v>-</v>
      </c>
      <c r="F17" s="7" t="str">
        <f>IFERROR(INDEX(Tabela2[[Disciplina]:[Disciplina]],MATCH($C$3&amp;F$3&amp;$C17,Tabela2[[aux]:[aux]],0)),"-")</f>
        <v>-</v>
      </c>
      <c r="G17" s="7" t="str">
        <f>IFERROR(INDEX(Tabela2[[Disciplina]:[Disciplina]],MATCH($C$3&amp;G$3&amp;$C17,Tabela2[[aux]:[aux]],0)),"-")</f>
        <v>PCO112</v>
      </c>
      <c r="H17" s="7" t="str">
        <f>IFERROR(INDEX(Tabela2[[Disciplina]:[Disciplina]],MATCH($C$3&amp;H$3&amp;$C17,Tabela2[[aux]:[aux]],0)),"-")</f>
        <v>-</v>
      </c>
      <c r="I17" s="7" t="str">
        <f>IFERROR(INDEX(Tabela2[[Disciplina]:[Disciplina]],MATCH($C$3&amp;I$3&amp;$C17,Tabela2[[aux]:[aux]],0)),"-")</f>
        <v>-</v>
      </c>
    </row>
    <row r="18" spans="1:9" ht="27.75" customHeight="1" x14ac:dyDescent="0.25">
      <c r="A18" s="1"/>
      <c r="B18" s="1"/>
      <c r="C18" s="10">
        <v>12</v>
      </c>
      <c r="D18" s="3">
        <v>0.82638888888888884</v>
      </c>
      <c r="E18" s="7" t="str">
        <f>IFERROR(INDEX(Tabela2[[Disciplina]:[Disciplina]],MATCH($C$3&amp;E$3&amp;$C18,Tabela2[[aux]:[aux]],0)),"-")</f>
        <v>-</v>
      </c>
      <c r="F18" s="7" t="str">
        <f>IFERROR(INDEX(Tabela2[[Disciplina]:[Disciplina]],MATCH($C$3&amp;F$3&amp;$C18,Tabela2[[aux]:[aux]],0)),"-")</f>
        <v>PCO114</v>
      </c>
      <c r="G18" s="7" t="str">
        <f>IFERROR(INDEX(Tabela2[[Disciplina]:[Disciplina]],MATCH($C$3&amp;G$3&amp;$C18,Tabela2[[aux]:[aux]],0)),"-")</f>
        <v>-</v>
      </c>
      <c r="H18" s="7" t="str">
        <f>IFERROR(INDEX(Tabela2[[Disciplina]:[Disciplina]],MATCH($C$3&amp;H$3&amp;$C18,Tabela2[[aux]:[aux]],0)),"-")</f>
        <v>-</v>
      </c>
      <c r="I18" s="7" t="str">
        <f>IFERROR(INDEX(Tabela2[[Disciplina]:[Disciplina]],MATCH($C$3&amp;I$3&amp;$C18,Tabela2[[aux]:[aux]],0)),"-")</f>
        <v>-</v>
      </c>
    </row>
    <row r="19" spans="1:9" ht="27.75" customHeight="1" x14ac:dyDescent="0.25">
      <c r="A19" s="1"/>
      <c r="B19" s="1"/>
      <c r="C19" s="10">
        <v>13</v>
      </c>
      <c r="D19" s="3">
        <v>0.875</v>
      </c>
      <c r="E19" s="7" t="str">
        <f>IFERROR(INDEX(Tabela2[[Disciplina]:[Disciplina]],MATCH($C$3&amp;E$3&amp;$C19,Tabela2[[aux]:[aux]],0)),"-")</f>
        <v>-</v>
      </c>
      <c r="F19" s="7" t="str">
        <f>IFERROR(INDEX(Tabela2[[Disciplina]:[Disciplina]],MATCH($C$3&amp;F$3&amp;$C19,Tabela2[[aux]:[aux]],0)),"-")</f>
        <v>PCO114</v>
      </c>
      <c r="G19" s="7" t="str">
        <f>IFERROR(INDEX(Tabela2[[Disciplina]:[Disciplina]],MATCH($C$3&amp;G$3&amp;$C19,Tabela2[[aux]:[aux]],0)),"-")</f>
        <v>-</v>
      </c>
      <c r="H19" s="7" t="str">
        <f>IFERROR(INDEX(Tabela2[[Disciplina]:[Disciplina]],MATCH($C$3&amp;H$3&amp;$C19,Tabela2[[aux]:[aux]],0)),"-")</f>
        <v>-</v>
      </c>
      <c r="I19" s="7" t="str">
        <f>IFERROR(INDEX(Tabela2[[Disciplina]:[Disciplina]],MATCH($C$3&amp;I$3&amp;$C19,Tabela2[[aux]:[aux]],0)),"-")</f>
        <v>-</v>
      </c>
    </row>
    <row r="20" spans="1:9" ht="27.75" customHeight="1" x14ac:dyDescent="0.25">
      <c r="A20" s="1"/>
      <c r="B20" s="1"/>
      <c r="C20" s="10">
        <v>14</v>
      </c>
      <c r="D20" s="3">
        <v>0.90972222222222221</v>
      </c>
      <c r="E20" s="7" t="str">
        <f>IFERROR(INDEX(Tabela2[[Disciplina]:[Disciplina]],MATCH($C$3&amp;E$3&amp;$C20,Tabela2[[aux]:[aux]],0)),"-")</f>
        <v>PCO112</v>
      </c>
      <c r="F20" s="7" t="str">
        <f>IFERROR(INDEX(Tabela2[[Disciplina]:[Disciplina]],MATCH($C$3&amp;F$3&amp;$C20,Tabela2[[aux]:[aux]],0)),"-")</f>
        <v>-</v>
      </c>
      <c r="G20" s="7" t="str">
        <f>IFERROR(INDEX(Tabela2[[Disciplina]:[Disciplina]],MATCH($C$3&amp;G$3&amp;$C20,Tabela2[[aux]:[aux]],0)),"-")</f>
        <v>-</v>
      </c>
      <c r="H20" s="7" t="str">
        <f>IFERROR(INDEX(Tabela2[[Disciplina]:[Disciplina]],MATCH($C$3&amp;H$3&amp;$C20,Tabela2[[aux]:[aux]],0)),"-")</f>
        <v>-</v>
      </c>
      <c r="I20" s="7" t="str">
        <f>IFERROR(INDEX(Tabela2[[Disciplina]:[Disciplina]],MATCH($C$3&amp;I$3&amp;$C20,Tabela2[[aux]:[aux]],0)),"-")</f>
        <v>-</v>
      </c>
    </row>
    <row r="21" spans="1:9" ht="27.75" customHeight="1" x14ac:dyDescent="0.25">
      <c r="A21" s="1"/>
      <c r="B21" s="1"/>
      <c r="C21" s="10">
        <v>15</v>
      </c>
      <c r="D21" s="3">
        <v>0.94444444444444442</v>
      </c>
      <c r="E21" s="7" t="str">
        <f>IFERROR(INDEX(Tabela2[[Disciplina]:[Disciplina]],MATCH($C$3&amp;E$3&amp;$C21,Tabela2[[aux]:[aux]],0)),"-")</f>
        <v>-</v>
      </c>
      <c r="F21" s="7" t="str">
        <f>IFERROR(INDEX(Tabela2[[Disciplina]:[Disciplina]],MATCH($C$3&amp;F$3&amp;$C21,Tabela2[[aux]:[aux]],0)),"-")</f>
        <v>-</v>
      </c>
      <c r="G21" s="7" t="str">
        <f>IFERROR(INDEX(Tabela2[[Disciplina]:[Disciplina]],MATCH($C$3&amp;G$3&amp;$C21,Tabela2[[aux]:[aux]],0)),"-")</f>
        <v>-</v>
      </c>
      <c r="H21" s="7" t="str">
        <f>IFERROR(INDEX(Tabela2[[Disciplina]:[Disciplina]],MATCH($C$3&amp;H$3&amp;$C21,Tabela2[[aux]:[aux]],0)),"-")</f>
        <v>-</v>
      </c>
      <c r="I21" s="7" t="str">
        <f>IFERROR(INDEX(Tabela2[[Disciplina]:[Disciplina]],MATCH($C$3&amp;I$3&amp;$C21,Tabela2[[aux]:[aux]],0)),"-")</f>
        <v>-</v>
      </c>
    </row>
    <row r="22" spans="1:9" ht="27.75" customHeight="1" x14ac:dyDescent="0.25">
      <c r="A22" s="1"/>
      <c r="B22" s="1"/>
    </row>
    <row r="23" spans="1:9" ht="27.75" customHeight="1" x14ac:dyDescent="0.25">
      <c r="A23" s="1"/>
      <c r="B23" s="1"/>
    </row>
    <row r="24" spans="1:9" ht="27.75" customHeight="1" x14ac:dyDescent="0.25">
      <c r="A24" s="1"/>
      <c r="B24" s="1"/>
    </row>
    <row r="25" spans="1:9" ht="27.75" customHeight="1" x14ac:dyDescent="0.25">
      <c r="A25" s="1"/>
      <c r="B25" s="1"/>
    </row>
    <row r="26" spans="1:9" ht="27.75" customHeight="1" x14ac:dyDescent="0.25">
      <c r="A26" s="1"/>
      <c r="B26" s="1"/>
    </row>
    <row r="27" spans="1:9" ht="27.75" customHeight="1" x14ac:dyDescent="0.25">
      <c r="A27" s="1"/>
      <c r="B27" s="1"/>
    </row>
    <row r="28" spans="1:9" ht="27.75" customHeight="1" x14ac:dyDescent="0.25">
      <c r="A28" s="1"/>
      <c r="B28" s="1"/>
    </row>
    <row r="29" spans="1:9" ht="27.75" customHeight="1" x14ac:dyDescent="0.25">
      <c r="A29" s="1"/>
      <c r="B29" s="1"/>
    </row>
    <row r="30" spans="1:9" ht="27.75" customHeight="1" x14ac:dyDescent="0.25">
      <c r="A30" s="1"/>
      <c r="B30" s="1"/>
    </row>
    <row r="31" spans="1:9" ht="27.75" customHeight="1" x14ac:dyDescent="0.25">
      <c r="A31" s="1"/>
      <c r="B31" s="1"/>
    </row>
    <row r="32" spans="1:9" ht="27.75" customHeight="1" x14ac:dyDescent="0.25">
      <c r="A32" s="1"/>
      <c r="B32" s="1"/>
    </row>
    <row r="33" spans="1:2" ht="27.75" customHeight="1" x14ac:dyDescent="0.25">
      <c r="A33" s="1"/>
      <c r="B33" s="1"/>
    </row>
    <row r="34" spans="1:2" ht="27.75" customHeight="1" x14ac:dyDescent="0.25">
      <c r="A34" s="1"/>
      <c r="B34" s="1"/>
    </row>
    <row r="35" spans="1:2" ht="27.75" customHeight="1" x14ac:dyDescent="0.25">
      <c r="A35" s="1"/>
      <c r="B35" s="1"/>
    </row>
    <row r="36" spans="1:2" ht="27.75" customHeight="1" x14ac:dyDescent="0.25">
      <c r="A36" s="1"/>
      <c r="B36" s="1"/>
    </row>
    <row r="37" spans="1:2" ht="27.75" customHeight="1" x14ac:dyDescent="0.25">
      <c r="A37" s="1"/>
      <c r="B37" s="1"/>
    </row>
    <row r="38" spans="1:2" ht="27.75" customHeight="1" x14ac:dyDescent="0.25">
      <c r="A38" s="1"/>
      <c r="B38" s="1"/>
    </row>
    <row r="39" spans="1:2" ht="27.75" customHeight="1" x14ac:dyDescent="0.25">
      <c r="A39" s="1"/>
      <c r="B39" s="1"/>
    </row>
    <row r="40" spans="1:2" ht="27.75" customHeight="1" x14ac:dyDescent="0.25">
      <c r="A40" s="1"/>
      <c r="B40" s="1"/>
    </row>
    <row r="41" spans="1:2" ht="27.75" customHeight="1" x14ac:dyDescent="0.25">
      <c r="A41" s="1"/>
      <c r="B41" s="1"/>
    </row>
    <row r="42" spans="1:2" ht="27.75" customHeight="1" x14ac:dyDescent="0.25">
      <c r="A42" s="1"/>
      <c r="B42" s="1"/>
    </row>
    <row r="43" spans="1:2" ht="27.75" customHeight="1" x14ac:dyDescent="0.25">
      <c r="A43" s="1"/>
      <c r="B43" s="1"/>
    </row>
    <row r="44" spans="1:2" ht="27.75" customHeight="1" x14ac:dyDescent="0.25">
      <c r="A44" s="1"/>
      <c r="B44" s="1"/>
    </row>
    <row r="45" spans="1:2" ht="27.75" customHeight="1" x14ac:dyDescent="0.25">
      <c r="A45" s="1"/>
      <c r="B45" s="1"/>
    </row>
    <row r="46" spans="1:2" ht="27.75" customHeight="1" x14ac:dyDescent="0.25">
      <c r="A46" s="1"/>
      <c r="B46" s="1"/>
    </row>
    <row r="47" spans="1:2" ht="27.75" customHeight="1" x14ac:dyDescent="0.25">
      <c r="A47" s="1"/>
      <c r="B47" s="1"/>
    </row>
    <row r="48" spans="1:2" ht="27.75" customHeight="1" x14ac:dyDescent="0.25">
      <c r="A48" s="1"/>
      <c r="B48" s="1"/>
    </row>
    <row r="49" spans="1:2" ht="27.75" customHeight="1" x14ac:dyDescent="0.25">
      <c r="A49" s="1"/>
      <c r="B49" s="1"/>
    </row>
    <row r="50" spans="1:2" ht="27.75" customHeight="1" x14ac:dyDescent="0.25">
      <c r="A50" s="1"/>
      <c r="B50" s="1"/>
    </row>
    <row r="51" spans="1:2" ht="27.75" customHeight="1" x14ac:dyDescent="0.25">
      <c r="A51" s="1"/>
      <c r="B51" s="1"/>
    </row>
    <row r="52" spans="1:2" ht="27.75" customHeight="1" x14ac:dyDescent="0.25">
      <c r="A52" s="1"/>
      <c r="B52" s="1"/>
    </row>
    <row r="53" spans="1:2" ht="27.75" customHeight="1" x14ac:dyDescent="0.25">
      <c r="A53" s="1"/>
      <c r="B53" s="1"/>
    </row>
    <row r="54" spans="1:2" ht="27.75" customHeight="1" x14ac:dyDescent="0.25">
      <c r="A54" s="1"/>
      <c r="B54" s="1"/>
    </row>
    <row r="55" spans="1:2" ht="27.75" customHeight="1" x14ac:dyDescent="0.25">
      <c r="A55" s="1"/>
      <c r="B55" s="1"/>
    </row>
    <row r="56" spans="1:2" ht="27.75" customHeight="1" x14ac:dyDescent="0.25">
      <c r="A56" s="1"/>
      <c r="B56" s="1"/>
    </row>
    <row r="57" spans="1:2" ht="27.75" customHeight="1" x14ac:dyDescent="0.25">
      <c r="A57" s="1"/>
      <c r="B57" s="1"/>
    </row>
    <row r="58" spans="1:2" ht="27.75" customHeight="1" x14ac:dyDescent="0.25">
      <c r="A58" s="1"/>
      <c r="B58" s="1"/>
    </row>
    <row r="59" spans="1:2" ht="27.75" customHeight="1" x14ac:dyDescent="0.25">
      <c r="A59" s="1"/>
      <c r="B59" s="1"/>
    </row>
    <row r="60" spans="1:2" ht="27.75" customHeight="1" x14ac:dyDescent="0.25">
      <c r="A60" s="1"/>
      <c r="B60" s="1"/>
    </row>
    <row r="61" spans="1:2" ht="27.75" customHeight="1" x14ac:dyDescent="0.25">
      <c r="A61" s="1"/>
      <c r="B61" s="1"/>
    </row>
    <row r="62" spans="1:2" ht="27.75" customHeight="1" x14ac:dyDescent="0.25">
      <c r="A62" s="1"/>
      <c r="B62" s="1"/>
    </row>
    <row r="63" spans="1:2" ht="27.75" customHeight="1" x14ac:dyDescent="0.25">
      <c r="A63" s="1"/>
      <c r="B63" s="1"/>
    </row>
    <row r="64" spans="1:2" ht="27.75" customHeight="1" x14ac:dyDescent="0.25">
      <c r="A64" s="1"/>
      <c r="B64" s="1"/>
    </row>
    <row r="65" spans="1:2" ht="27.75" customHeight="1" x14ac:dyDescent="0.25">
      <c r="A65" s="1"/>
      <c r="B65" s="1"/>
    </row>
    <row r="66" spans="1:2" ht="27.75" customHeight="1" x14ac:dyDescent="0.25">
      <c r="A66" s="1"/>
      <c r="B66" s="1"/>
    </row>
    <row r="67" spans="1:2" ht="27.75" customHeight="1" x14ac:dyDescent="0.25">
      <c r="A67" s="1"/>
      <c r="B67" s="1"/>
    </row>
    <row r="68" spans="1:2" ht="27.75" customHeight="1" x14ac:dyDescent="0.25">
      <c r="A68" s="1"/>
      <c r="B68" s="1"/>
    </row>
    <row r="69" spans="1:2" ht="27.75" customHeight="1" x14ac:dyDescent="0.25">
      <c r="A69" s="1"/>
      <c r="B69" s="1"/>
    </row>
    <row r="70" spans="1:2" ht="27.75" customHeight="1" x14ac:dyDescent="0.25">
      <c r="A70" s="1"/>
      <c r="B70" s="1"/>
    </row>
    <row r="71" spans="1:2" ht="27.75" customHeight="1" x14ac:dyDescent="0.25">
      <c r="A71" s="1"/>
      <c r="B71" s="1"/>
    </row>
    <row r="72" spans="1:2" ht="27.75" customHeight="1" x14ac:dyDescent="0.25">
      <c r="A72" s="1"/>
      <c r="B72" s="1"/>
    </row>
    <row r="73" spans="1:2" ht="27.75" customHeight="1" x14ac:dyDescent="0.25">
      <c r="A73" s="1"/>
      <c r="B73" s="1"/>
    </row>
    <row r="74" spans="1:2" ht="27.75" customHeight="1" x14ac:dyDescent="0.25">
      <c r="A74" s="1"/>
      <c r="B74" s="1"/>
    </row>
    <row r="75" spans="1:2" ht="27.75" customHeight="1" x14ac:dyDescent="0.25">
      <c r="A75" s="1"/>
      <c r="B75" s="1"/>
    </row>
    <row r="76" spans="1:2" ht="27.75" customHeight="1" x14ac:dyDescent="0.25">
      <c r="A76" s="1"/>
      <c r="B76" s="1"/>
    </row>
    <row r="77" spans="1:2" ht="27.75" customHeight="1" x14ac:dyDescent="0.25">
      <c r="A77" s="1"/>
      <c r="B77" s="1"/>
    </row>
    <row r="78" spans="1:2" ht="27.75" customHeight="1" x14ac:dyDescent="0.25">
      <c r="A78" s="1"/>
      <c r="B78" s="1"/>
    </row>
    <row r="79" spans="1:2" ht="27.75" customHeight="1" x14ac:dyDescent="0.25">
      <c r="A79" s="1"/>
      <c r="B79" s="1"/>
    </row>
    <row r="80" spans="1:2" ht="27.75" customHeight="1" x14ac:dyDescent="0.25">
      <c r="A80" s="1"/>
      <c r="B80" s="1"/>
    </row>
    <row r="81" spans="1:2" ht="27.75" customHeight="1" x14ac:dyDescent="0.25">
      <c r="A81" s="1"/>
      <c r="B81" s="1"/>
    </row>
    <row r="82" spans="1:2" ht="27.75" customHeight="1" x14ac:dyDescent="0.25">
      <c r="A82" s="1"/>
      <c r="B82" s="1"/>
    </row>
    <row r="83" spans="1:2" ht="27.75" customHeight="1" x14ac:dyDescent="0.25">
      <c r="A83" s="1"/>
      <c r="B83" s="1"/>
    </row>
    <row r="84" spans="1:2" ht="27.75" customHeight="1" x14ac:dyDescent="0.25">
      <c r="A84" s="1"/>
      <c r="B84" s="1"/>
    </row>
    <row r="85" spans="1:2" ht="27.75" customHeight="1" x14ac:dyDescent="0.25">
      <c r="A85" s="1"/>
      <c r="B85" s="1"/>
    </row>
    <row r="86" spans="1:2" ht="27.75" customHeight="1" x14ac:dyDescent="0.25">
      <c r="A86" s="1"/>
      <c r="B86" s="1"/>
    </row>
    <row r="87" spans="1:2" ht="27.75" customHeight="1" x14ac:dyDescent="0.25">
      <c r="A87" s="1"/>
      <c r="B87" s="1"/>
    </row>
    <row r="88" spans="1:2" ht="27.75" customHeight="1" x14ac:dyDescent="0.25">
      <c r="A88" s="1"/>
      <c r="B88" s="1"/>
    </row>
    <row r="89" spans="1:2" ht="27.75" customHeight="1" x14ac:dyDescent="0.25">
      <c r="A89" s="1"/>
      <c r="B89" s="1"/>
    </row>
    <row r="90" spans="1:2" ht="27.75" customHeight="1" x14ac:dyDescent="0.25">
      <c r="A90" s="1"/>
      <c r="B90" s="1"/>
    </row>
    <row r="91" spans="1:2" ht="27.75" customHeight="1" x14ac:dyDescent="0.25">
      <c r="A91" s="1"/>
      <c r="B91" s="1"/>
    </row>
    <row r="92" spans="1:2" ht="27.75" customHeight="1" x14ac:dyDescent="0.25">
      <c r="A92" s="1"/>
      <c r="B92" s="1"/>
    </row>
    <row r="93" spans="1:2" ht="27.75" customHeight="1" x14ac:dyDescent="0.25">
      <c r="A93" s="1"/>
      <c r="B93" s="1"/>
    </row>
    <row r="94" spans="1:2" ht="27.75" customHeight="1" x14ac:dyDescent="0.25">
      <c r="A94" s="1"/>
      <c r="B94" s="1"/>
    </row>
    <row r="95" spans="1:2" ht="27.75" customHeight="1" x14ac:dyDescent="0.25">
      <c r="A95" s="1"/>
      <c r="B95" s="1"/>
    </row>
    <row r="96" spans="1:2" ht="27.75" customHeight="1" x14ac:dyDescent="0.25">
      <c r="A96" s="1"/>
      <c r="B96" s="1"/>
    </row>
    <row r="97" spans="1:2" ht="27.75" customHeight="1" x14ac:dyDescent="0.25">
      <c r="A97" s="1"/>
      <c r="B97" s="1"/>
    </row>
    <row r="98" spans="1:2" ht="27.75" customHeight="1" x14ac:dyDescent="0.25">
      <c r="A98" s="1"/>
      <c r="B98" s="1"/>
    </row>
    <row r="99" spans="1:2" ht="27.75" customHeight="1" x14ac:dyDescent="0.25">
      <c r="A99" s="1"/>
      <c r="B99" s="1"/>
    </row>
    <row r="100" spans="1:2" ht="27.75" customHeight="1" x14ac:dyDescent="0.25">
      <c r="A100" s="1"/>
      <c r="B100" s="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3C3E595-9DEA-47C1-9F70-B6627D7BC75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21</vt:i4>
      </vt:variant>
    </vt:vector>
  </HeadingPairs>
  <TitlesOfParts>
    <vt:vector size="21" baseType="lpstr">
      <vt:lpstr>CCO1</vt:lpstr>
      <vt:lpstr>CCO2</vt:lpstr>
      <vt:lpstr>CCO3</vt:lpstr>
      <vt:lpstr>CCO4</vt:lpstr>
      <vt:lpstr>CCO5</vt:lpstr>
      <vt:lpstr>CCO6</vt:lpstr>
      <vt:lpstr>CCO7</vt:lpstr>
      <vt:lpstr>SIN1</vt:lpstr>
      <vt:lpstr>SIN2</vt:lpstr>
      <vt:lpstr>SIN3</vt:lpstr>
      <vt:lpstr>SIN4</vt:lpstr>
      <vt:lpstr>SIN5</vt:lpstr>
      <vt:lpstr>SIN6</vt:lpstr>
      <vt:lpstr>SIN7</vt:lpstr>
      <vt:lpstr>SIN8</vt:lpstr>
      <vt:lpstr>SIN9</vt:lpstr>
      <vt:lpstr>DadosImportados</vt:lpstr>
      <vt:lpstr>Optativas11</vt:lpstr>
      <vt:lpstr>Optativas12</vt:lpstr>
      <vt:lpstr>Poscomp11</vt:lpstr>
      <vt:lpstr>Poscomp12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VENILDO FABRICIUS GONÇALVES</dc:creator>
  <cp:lastModifiedBy>VENILDO FABRICIUS GONÇALVES</cp:lastModifiedBy>
  <dcterms:created xsi:type="dcterms:W3CDTF">2024-06-14T14:12:12Z</dcterms:created>
  <dcterms:modified xsi:type="dcterms:W3CDTF">2024-06-15T00:41:25Z</dcterms:modified>
</cp:coreProperties>
</file>